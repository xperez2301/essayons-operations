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L_Intake" sheetId="1" state="visible" r:id="rId1"/>
    <sheet name="Route_Output" sheetId="2" state="visible" r:id="rId2"/>
    <sheet name="Route_Planner" sheetId="3" state="visible" r:id="rId3"/>
    <sheet name="Dashboard" sheetId="4" state="visible" r:id="rId4"/>
    <sheet name="Driver_Board" sheetId="5" state="visible" r:id="rId5"/>
    <sheet name="Completed_View" sheetId="6" state="visible" r:id="rId6"/>
    <sheet name="Need Review for P&amp;L" sheetId="7" state="visible" r:id="rId7"/>
    <sheet name="P&amp;L Revenue Summary" sheetId="8" state="visible" r:id="rId8"/>
    <sheet name="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2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9">
    <dxf>
      <fill>
        <patternFill patternType="solid">
          <fgColor rgb="00FDE68A"/>
        </patternFill>
      </fill>
    </dxf>
    <dxf>
      <font>
        <b val="1"/>
        <color rgb="007F1D1D"/>
      </font>
      <fill>
        <patternFill patternType="solid">
          <fgColor rgb="00FCA5A5"/>
        </patternFill>
      </fill>
    </dxf>
    <dxf>
      <fill>
        <patternFill patternType="solid">
          <fgColor rgb="00D1FAE5"/>
        </patternFill>
      </fill>
    </dxf>
    <dxf>
      <font>
        <b val="1"/>
        <color rgb="001E3A5F"/>
      </font>
      <fill>
        <patternFill patternType="solid">
          <fgColor rgb="00BFDBFE"/>
        </patternFill>
      </fill>
    </dxf>
    <dxf>
      <font>
        <b val="1"/>
        <color rgb="00450A0A"/>
      </font>
      <fill>
        <patternFill patternType="solid">
          <fgColor rgb="00F87171"/>
        </patternFill>
      </fill>
    </dxf>
    <dxf>
      <font>
        <b val="1"/>
        <color rgb="0078350F"/>
      </font>
      <fill>
        <patternFill patternType="solid">
          <fgColor rgb="00FDE68A"/>
        </patternFill>
      </fill>
    </dxf>
    <dxf>
      <font>
        <b val="1"/>
        <color rgb="0078350F"/>
      </font>
      <fill>
        <patternFill patternType="solid">
          <fgColor rgb="00FCD34D"/>
        </patternFill>
      </fill>
    </dxf>
    <dxf>
      <font>
        <b val="1"/>
        <color rgb="00134E4A"/>
      </font>
      <fill>
        <patternFill patternType="solid">
          <fgColor rgb="005EEAD4"/>
        </patternFill>
      </fill>
    </dxf>
    <dxf>
      <font>
        <b val="1"/>
        <color rgb="0014532D"/>
      </font>
      <fill>
        <patternFill patternType="solid">
          <fgColor rgb="0086EFA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4" customWidth="1" min="5" max="5"/>
    <col width="18" customWidth="1" min="6" max="6"/>
    <col width="14" customWidth="1" min="7" max="7"/>
    <col width="12" customWidth="1" min="8" max="8"/>
    <col width="10" customWidth="1" min="9" max="9"/>
    <col width="14" customWidth="1" min="10" max="10"/>
    <col width="8" customWidth="1" min="11" max="11"/>
    <col width="36" customWidth="1" min="12" max="12"/>
    <col width="36" customWidth="1" min="13" max="13"/>
    <col width="10" customWidth="1" min="14" max="14"/>
    <col width="12" customWidth="1" min="15" max="15"/>
    <col width="18" customWidth="1" min="16" max="16"/>
    <col width="12" customWidth="1" min="17" max="17"/>
    <col width="12" customWidth="1" min="18" max="18"/>
    <col width="12" customWidth="1" min="19" max="19"/>
    <col width="11" customWidth="1" min="20" max="20"/>
    <col width="12" customWidth="1" min="21" max="21"/>
    <col width="35" customWidth="1" min="22" max="22"/>
    <col width="18" customWidth="1" min="23" max="23"/>
    <col width="24" customWidth="1" min="24" max="24"/>
  </cols>
  <sheetData>
    <row r="1">
      <c r="A1" s="1" t="inlineStr">
        <is>
          <t>BOL #</t>
        </is>
      </c>
      <c r="B1" s="1" t="inlineStr">
        <is>
          <t>Origin</t>
        </is>
      </c>
      <c r="C1" s="1" t="inlineStr">
        <is>
          <t>Due Date</t>
        </is>
      </c>
      <c r="D1" s="1" t="inlineStr">
        <is>
          <t>Priority</t>
        </is>
      </c>
      <c r="E1" s="1" t="inlineStr">
        <is>
          <t>Dispatch Group</t>
        </is>
      </c>
      <c r="F1" s="1" t="inlineStr">
        <is>
          <t>Status</t>
        </is>
      </c>
      <c r="G1" s="1" t="inlineStr">
        <is>
          <t>Team</t>
        </is>
      </c>
      <c r="H1" s="1" t="inlineStr">
        <is>
          <t>Route</t>
        </is>
      </c>
      <c r="I1" s="1" t="inlineStr">
        <is>
          <t>Carrier Code</t>
        </is>
      </c>
      <c r="J1" s="1" t="inlineStr">
        <is>
          <t>Type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Origin Address</t>
        </is>
      </c>
      <c r="N1" s="1" t="inlineStr">
        <is>
          <t>Origin City</t>
        </is>
      </c>
      <c r="O1" s="1" t="inlineStr">
        <is>
          <t>Origin State</t>
        </is>
      </c>
      <c r="P1" s="1" t="inlineStr">
        <is>
          <t>Origin ZIP</t>
        </is>
      </c>
      <c r="Q1" s="1" t="inlineStr">
        <is>
          <t>Store Name</t>
        </is>
      </c>
      <c r="R1" s="1" t="inlineStr">
        <is>
          <t>Carrier Address</t>
        </is>
      </c>
      <c r="S1" s="1" t="inlineStr">
        <is>
          <t>Est Racks</t>
        </is>
      </c>
      <c r="T1" s="1" t="inlineStr">
        <is>
          <t>Actual Racks</t>
        </is>
      </c>
      <c r="U1" s="1" t="inlineStr">
        <is>
          <t>84" Corner Post Only</t>
        </is>
      </c>
      <c r="V1" s="1" t="inlineStr">
        <is>
          <t>40" DRB</t>
        </is>
      </c>
      <c r="W1" s="1" t="inlineStr">
        <is>
          <t>48" DRB</t>
        </is>
      </c>
      <c r="X1" s="1" t="inlineStr">
        <is>
          <t>Wood Shelf</t>
        </is>
      </c>
      <c r="Y1" s="1" t="inlineStr">
        <is>
          <t>Rate/Piece</t>
        </is>
      </c>
      <c r="Z1" s="1" t="inlineStr">
        <is>
          <t>Revenue</t>
        </is>
      </c>
      <c r="AA1" s="1" t="inlineStr">
        <is>
          <t>Notes</t>
        </is>
      </c>
      <c r="AB1" s="1" t="inlineStr">
        <is>
          <t>Completed Date</t>
        </is>
      </c>
      <c r="AC1" s="1" t="inlineStr">
        <is>
          <t>Imported At</t>
        </is>
      </c>
      <c r="AD1" s="1" t="inlineStr">
        <is>
          <t>Source File</t>
        </is>
      </c>
    </row>
    <row r="2">
      <c r="A2" s="7" t="inlineStr">
        <is>
          <t>945537</t>
        </is>
      </c>
      <c r="B2" s="7" t="inlineStr">
        <is>
          <t>HD6847</t>
        </is>
      </c>
      <c r="C2" s="8" t="inlineStr">
        <is>
          <t>06/23/2026</t>
        </is>
      </c>
      <c r="D2" s="7" t="inlineStr">
        <is>
          <t>Normal</t>
        </is>
      </c>
      <c r="E2" s="7" t="inlineStr">
        <is>
          <t>San Antonio</t>
        </is>
      </c>
      <c r="F2" s="7" t="inlineStr">
        <is>
          <t>Need to be assigned</t>
        </is>
      </c>
      <c r="G2" s="7" t="inlineStr"/>
      <c r="H2" s="7" t="inlineStr">
        <is>
          <t>San Antonio</t>
        </is>
      </c>
      <c r="I2" s="7" t="inlineStr">
        <is>
          <t>SUSATXUS</t>
        </is>
      </c>
      <c r="J2" s="7" t="inlineStr">
        <is>
          <t>Recovery</t>
        </is>
      </c>
      <c r="K2" s="7" t="inlineStr">
        <is>
          <t>San Antonio</t>
        </is>
      </c>
      <c r="L2" s="7" t="inlineStr">
        <is>
          <t>TX</t>
        </is>
      </c>
      <c r="M2" s="7" t="inlineStr">
        <is>
          <t>2607 Texas 1604 Loop San Antonio Texas 78245</t>
        </is>
      </c>
      <c r="N2" s="7" t="inlineStr"/>
      <c r="O2" s="7" t="inlineStr">
        <is>
          <t>TX</t>
        </is>
      </c>
      <c r="P2" s="7" t="inlineStr"/>
      <c r="Q2" s="7" t="inlineStr">
        <is>
          <t>Home Depot</t>
        </is>
      </c>
      <c r="R2" s="7" t="inlineStr">
        <is>
          <t>10536 Sentinel Dr San Antonio Texas</t>
        </is>
      </c>
      <c r="S2" s="7" t="n">
        <v>10</v>
      </c>
      <c r="T2" s="7" t="inlineStr"/>
      <c r="U2" s="7" t="n">
        <v>40</v>
      </c>
      <c r="V2" s="7" t="n">
        <v>60</v>
      </c>
      <c r="W2" s="7" t="n">
        <v>60</v>
      </c>
      <c r="X2" s="7" t="n">
        <v>30</v>
      </c>
      <c r="Y2" s="9" t="n">
        <v>0.95</v>
      </c>
      <c r="Z2" s="10">
        <f>SUM(U2:X2)*Y2</f>
        <v/>
      </c>
      <c r="AA2" s="7" t="inlineStr"/>
      <c r="AB2" s="7" t="inlineStr"/>
      <c r="AC2" s="7" t="inlineStr">
        <is>
          <t>06/18/2026 16:42</t>
        </is>
      </c>
      <c r="AD2" s="7" t="inlineStr">
        <is>
          <t>945537.pdf</t>
        </is>
      </c>
    </row>
    <row r="3">
      <c r="A3" s="7" t="inlineStr">
        <is>
          <t>945513</t>
        </is>
      </c>
      <c r="B3" s="7" t="inlineStr">
        <is>
          <t>HD6818</t>
        </is>
      </c>
      <c r="C3" s="8" t="inlineStr">
        <is>
          <t>06/23/2026</t>
        </is>
      </c>
      <c r="D3" s="7" t="inlineStr">
        <is>
          <t>Normal</t>
        </is>
      </c>
      <c r="E3" s="7" t="inlineStr">
        <is>
          <t>San Antonio</t>
        </is>
      </c>
      <c r="F3" s="7" t="inlineStr">
        <is>
          <t>Need to be assigned</t>
        </is>
      </c>
      <c r="G3" s="7" t="inlineStr"/>
      <c r="H3" s="7" t="inlineStr">
        <is>
          <t>San Antonio</t>
        </is>
      </c>
      <c r="I3" s="7" t="inlineStr">
        <is>
          <t>SUSATXUS</t>
        </is>
      </c>
      <c r="J3" s="7" t="inlineStr">
        <is>
          <t>Recovery</t>
        </is>
      </c>
      <c r="K3" s="7" t="inlineStr">
        <is>
          <t>San Antonio</t>
        </is>
      </c>
      <c r="L3" s="7" t="inlineStr">
        <is>
          <t>TX</t>
        </is>
      </c>
      <c r="M3" s="7" t="inlineStr">
        <is>
          <t>5638 West Loop 1604 North San Antonio Texas 78251</t>
        </is>
      </c>
      <c r="N3" s="7" t="inlineStr"/>
      <c r="O3" s="7" t="inlineStr">
        <is>
          <t>TX</t>
        </is>
      </c>
      <c r="P3" s="7" t="inlineStr"/>
      <c r="Q3" s="7" t="inlineStr">
        <is>
          <t>Home Depot</t>
        </is>
      </c>
      <c r="R3" s="7" t="inlineStr">
        <is>
          <t>10536 Sentinel Dr San Antonio Texas</t>
        </is>
      </c>
      <c r="S3" s="7" t="n">
        <v>8</v>
      </c>
      <c r="T3" s="7" t="inlineStr"/>
      <c r="U3" s="7" t="n">
        <v>32</v>
      </c>
      <c r="V3" s="7" t="n">
        <v>48</v>
      </c>
      <c r="W3" s="7" t="n">
        <v>48</v>
      </c>
      <c r="X3" s="7" t="n">
        <v>24</v>
      </c>
      <c r="Y3" s="9" t="n">
        <v>0.95</v>
      </c>
      <c r="Z3" s="10">
        <f>SUM(U2:X2)*Y2</f>
        <v/>
      </c>
      <c r="AA3" s="7" t="inlineStr"/>
      <c r="AB3" s="7" t="inlineStr"/>
      <c r="AC3" s="7" t="inlineStr">
        <is>
          <t>06/18/2026 16:42</t>
        </is>
      </c>
      <c r="AD3" s="7" t="inlineStr">
        <is>
          <t>945513.pdf</t>
        </is>
      </c>
    </row>
    <row r="4">
      <c r="A4" s="7" t="inlineStr">
        <is>
          <t>945509</t>
        </is>
      </c>
      <c r="B4" s="7" t="inlineStr">
        <is>
          <t>HD581</t>
        </is>
      </c>
      <c r="C4" s="8" t="inlineStr">
        <is>
          <t>06/23/2026</t>
        </is>
      </c>
      <c r="D4" s="7" t="inlineStr">
        <is>
          <t>Normal</t>
        </is>
      </c>
      <c r="E4" s="7" t="inlineStr">
        <is>
          <t>San Antonio</t>
        </is>
      </c>
      <c r="F4" s="7" t="inlineStr">
        <is>
          <t>Need to be assigned</t>
        </is>
      </c>
      <c r="G4" s="7" t="inlineStr"/>
      <c r="H4" s="7" t="inlineStr">
        <is>
          <t>San Antonio</t>
        </is>
      </c>
      <c r="I4" s="7" t="inlineStr">
        <is>
          <t>SUSATXUS</t>
        </is>
      </c>
      <c r="J4" s="7" t="inlineStr">
        <is>
          <t>Recovery</t>
        </is>
      </c>
      <c r="K4" s="7" t="inlineStr">
        <is>
          <t>San Antonio</t>
        </is>
      </c>
      <c r="L4" s="7" t="inlineStr">
        <is>
          <t>TX</t>
        </is>
      </c>
      <c r="M4" s="7" t="inlineStr">
        <is>
          <t>5101 Cambray Drive San Antonio Texas 78229</t>
        </is>
      </c>
      <c r="N4" s="7" t="inlineStr"/>
      <c r="O4" s="7" t="inlineStr">
        <is>
          <t>TX</t>
        </is>
      </c>
      <c r="P4" s="7" t="inlineStr"/>
      <c r="Q4" s="7" t="inlineStr">
        <is>
          <t>Home Depot</t>
        </is>
      </c>
      <c r="R4" s="7" t="inlineStr">
        <is>
          <t>10536 Sentinel Dr San Antonio Texas</t>
        </is>
      </c>
      <c r="S4" s="7" t="n">
        <v>9</v>
      </c>
      <c r="T4" s="7" t="inlineStr"/>
      <c r="U4" s="7" t="n">
        <v>36</v>
      </c>
      <c r="V4" s="7" t="n">
        <v>54</v>
      </c>
      <c r="W4" s="7" t="n">
        <v>54</v>
      </c>
      <c r="X4" s="7" t="n">
        <v>27</v>
      </c>
      <c r="Y4" s="9" t="n">
        <v>0.95</v>
      </c>
      <c r="Z4" s="10">
        <f>SUM(U2:X2)*Y2</f>
        <v/>
      </c>
      <c r="AA4" s="7" t="inlineStr"/>
      <c r="AB4" s="7" t="inlineStr"/>
      <c r="AC4" s="7" t="inlineStr">
        <is>
          <t>06/18/2026 16:42</t>
        </is>
      </c>
      <c r="AD4" s="7" t="inlineStr">
        <is>
          <t>945509.pdf</t>
        </is>
      </c>
    </row>
    <row r="5">
      <c r="A5" s="7" t="inlineStr">
        <is>
          <t>945508</t>
        </is>
      </c>
      <c r="B5" s="7" t="inlineStr">
        <is>
          <t>HD8519</t>
        </is>
      </c>
      <c r="C5" s="8" t="inlineStr">
        <is>
          <t>06/23/2026</t>
        </is>
      </c>
      <c r="D5" s="7" t="inlineStr">
        <is>
          <t>Normal</t>
        </is>
      </c>
      <c r="E5" s="7" t="inlineStr">
        <is>
          <t>Valley</t>
        </is>
      </c>
      <c r="F5" s="7" t="inlineStr">
        <is>
          <t>Need to be assigned</t>
        </is>
      </c>
      <c r="G5" s="7" t="inlineStr"/>
      <c r="H5" s="7" t="inlineStr">
        <is>
          <t>Valley</t>
        </is>
      </c>
      <c r="I5" s="7" t="inlineStr">
        <is>
          <t>SUSATXUS</t>
        </is>
      </c>
      <c r="J5" s="7" t="inlineStr">
        <is>
          <t>Recovery</t>
        </is>
      </c>
      <c r="K5" s="7" t="inlineStr">
        <is>
          <t>Mission</t>
        </is>
      </c>
      <c r="L5" s="7" t="inlineStr">
        <is>
          <t>TX</t>
        </is>
      </c>
      <c r="M5" s="7" t="inlineStr">
        <is>
          <t>120 South Shary Road Mission Texas 78572</t>
        </is>
      </c>
      <c r="N5" s="7" t="inlineStr"/>
      <c r="O5" s="7" t="inlineStr">
        <is>
          <t>TX</t>
        </is>
      </c>
      <c r="P5" s="7" t="inlineStr"/>
      <c r="Q5" s="7" t="inlineStr">
        <is>
          <t>Home Depot</t>
        </is>
      </c>
      <c r="R5" s="7" t="inlineStr">
        <is>
          <t>10536 Sentinel Dr San Antonio Texas</t>
        </is>
      </c>
      <c r="S5" s="7" t="n">
        <v>9</v>
      </c>
      <c r="T5" s="7" t="inlineStr"/>
      <c r="U5" s="7" t="n">
        <v>36</v>
      </c>
      <c r="V5" s="7" t="n">
        <v>54</v>
      </c>
      <c r="W5" s="7" t="n">
        <v>54</v>
      </c>
      <c r="X5" s="7" t="n">
        <v>27</v>
      </c>
      <c r="Y5" s="9" t="n">
        <v>0.95</v>
      </c>
      <c r="Z5" s="10">
        <f>SUM(U2:X2)*Y2</f>
        <v/>
      </c>
      <c r="AA5" s="7" t="inlineStr"/>
      <c r="AB5" s="7" t="inlineStr"/>
      <c r="AC5" s="7" t="inlineStr">
        <is>
          <t>06/18/2026 16:42</t>
        </is>
      </c>
      <c r="AD5" s="7" t="inlineStr">
        <is>
          <t>945508.pdf</t>
        </is>
      </c>
    </row>
    <row r="6">
      <c r="A6" s="7" t="inlineStr">
        <is>
          <t>945507</t>
        </is>
      </c>
      <c r="B6" s="7" t="inlineStr">
        <is>
          <t>HD516</t>
        </is>
      </c>
      <c r="C6" s="8" t="inlineStr">
        <is>
          <t>06/23/2026</t>
        </is>
      </c>
      <c r="D6" s="7" t="inlineStr">
        <is>
          <t>Normal</t>
        </is>
      </c>
      <c r="E6" s="7" t="inlineStr">
        <is>
          <t>Valley</t>
        </is>
      </c>
      <c r="F6" s="7" t="inlineStr">
        <is>
          <t>Need to be assigned</t>
        </is>
      </c>
      <c r="G6" s="7" t="inlineStr"/>
      <c r="H6" s="7" t="inlineStr">
        <is>
          <t>Valley</t>
        </is>
      </c>
      <c r="I6" s="7" t="inlineStr">
        <is>
          <t>SUSATXUS</t>
        </is>
      </c>
      <c r="J6" s="7" t="inlineStr">
        <is>
          <t>Recovery</t>
        </is>
      </c>
      <c r="K6" s="7" t="inlineStr">
        <is>
          <t>Mcallen</t>
        </is>
      </c>
      <c r="L6" s="7" t="inlineStr">
        <is>
          <t>TX</t>
        </is>
      </c>
      <c r="M6" s="7" t="inlineStr">
        <is>
          <t>801 Trenton Road McAllen Texas 78504</t>
        </is>
      </c>
      <c r="N6" s="7" t="inlineStr"/>
      <c r="O6" s="7" t="inlineStr">
        <is>
          <t>TX</t>
        </is>
      </c>
      <c r="P6" s="7" t="inlineStr"/>
      <c r="Q6" s="7" t="inlineStr">
        <is>
          <t>Home Depot</t>
        </is>
      </c>
      <c r="R6" s="7" t="inlineStr">
        <is>
          <t>10536 Sentinel Dr San Antonio Texas</t>
        </is>
      </c>
      <c r="S6" s="7" t="n">
        <v>10</v>
      </c>
      <c r="T6" s="7" t="inlineStr"/>
      <c r="U6" s="7" t="n">
        <v>40</v>
      </c>
      <c r="V6" s="7" t="n">
        <v>60</v>
      </c>
      <c r="W6" s="7" t="n">
        <v>60</v>
      </c>
      <c r="X6" s="7" t="n">
        <v>30</v>
      </c>
      <c r="Y6" s="9" t="n">
        <v>0.95</v>
      </c>
      <c r="Z6" s="10">
        <f>SUM(U2:X2)*Y2</f>
        <v/>
      </c>
      <c r="AA6" s="7" t="inlineStr"/>
      <c r="AB6" s="7" t="inlineStr"/>
      <c r="AC6" s="7" t="inlineStr">
        <is>
          <t>06/18/2026 16:42</t>
        </is>
      </c>
      <c r="AD6" s="7" t="inlineStr">
        <is>
          <t>945507.pdf</t>
        </is>
      </c>
    </row>
    <row r="7">
      <c r="A7" s="7" t="inlineStr">
        <is>
          <t>945506</t>
        </is>
      </c>
      <c r="B7" s="7" t="inlineStr">
        <is>
          <t>GILCOTX1</t>
        </is>
      </c>
      <c r="C7" s="8" t="inlineStr">
        <is>
          <t>06/23/2026</t>
        </is>
      </c>
      <c r="D7" s="7" t="inlineStr">
        <is>
          <t>Normal</t>
        </is>
      </c>
      <c r="E7" s="7" t="inlineStr">
        <is>
          <t>Corpus</t>
        </is>
      </c>
      <c r="F7" s="7" t="inlineStr">
        <is>
          <t>Need to be assigned</t>
        </is>
      </c>
      <c r="G7" s="7" t="inlineStr"/>
      <c r="H7" s="7" t="inlineStr">
        <is>
          <t>Corpus</t>
        </is>
      </c>
      <c r="I7" s="7" t="inlineStr">
        <is>
          <t>SUSATXUS</t>
        </is>
      </c>
      <c r="J7" s="7" t="inlineStr">
        <is>
          <t>Recovery</t>
        </is>
      </c>
      <c r="K7" s="7" t="inlineStr">
        <is>
          <t>Corpus Christi</t>
        </is>
      </c>
      <c r="L7" s="7" t="inlineStr">
        <is>
          <t>TX</t>
        </is>
      </c>
      <c r="M7" s="7" t="inlineStr">
        <is>
          <t>2810 Airline Road Corpus Christi Texas 78414</t>
        </is>
      </c>
      <c r="N7" s="7" t="inlineStr"/>
      <c r="O7" s="7" t="inlineStr">
        <is>
          <t>TX</t>
        </is>
      </c>
      <c r="P7" s="7" t="inlineStr"/>
      <c r="Q7" s="7" t="inlineStr">
        <is>
          <t>Gill Landscape</t>
        </is>
      </c>
      <c r="R7" s="7" t="inlineStr">
        <is>
          <t>10536 Sentinel Dr San Antonio Texas</t>
        </is>
      </c>
      <c r="S7" s="7" t="n">
        <v>7</v>
      </c>
      <c r="T7" s="7" t="inlineStr"/>
      <c r="U7" s="7" t="n">
        <v>28</v>
      </c>
      <c r="V7" s="7" t="n">
        <v>42</v>
      </c>
      <c r="W7" s="7" t="n">
        <v>42</v>
      </c>
      <c r="X7" s="7" t="n">
        <v>21</v>
      </c>
      <c r="Y7" s="9" t="n">
        <v>0.95</v>
      </c>
      <c r="Z7" s="10">
        <f>SUM(U2:X2)*Y2</f>
        <v/>
      </c>
      <c r="AA7" s="7" t="inlineStr"/>
      <c r="AB7" s="7" t="inlineStr"/>
      <c r="AC7" s="7" t="inlineStr">
        <is>
          <t>06/18/2026 16:40</t>
        </is>
      </c>
      <c r="AD7" s="7" t="inlineStr">
        <is>
          <t>945506.pdf</t>
        </is>
      </c>
    </row>
    <row r="8">
      <c r="A8" s="7" t="inlineStr">
        <is>
          <t>945504</t>
        </is>
      </c>
      <c r="B8" s="7" t="inlineStr">
        <is>
          <t>HD6564</t>
        </is>
      </c>
      <c r="C8" s="8" t="inlineStr">
        <is>
          <t>06/23/2026</t>
        </is>
      </c>
      <c r="D8" s="7" t="inlineStr">
        <is>
          <t>Normal</t>
        </is>
      </c>
      <c r="E8" s="7" t="inlineStr">
        <is>
          <t>Corpus</t>
        </is>
      </c>
      <c r="F8" s="7" t="inlineStr">
        <is>
          <t>Need to be assigned</t>
        </is>
      </c>
      <c r="G8" s="7" t="inlineStr"/>
      <c r="H8" s="7" t="inlineStr">
        <is>
          <t>Corpus</t>
        </is>
      </c>
      <c r="I8" s="7" t="inlineStr">
        <is>
          <t>SUSATXUS</t>
        </is>
      </c>
      <c r="J8" s="7" t="inlineStr">
        <is>
          <t>Recovery</t>
        </is>
      </c>
      <c r="K8" s="7" t="inlineStr">
        <is>
          <t>Corpus Christi</t>
        </is>
      </c>
      <c r="L8" s="7" t="inlineStr">
        <is>
          <t>TX</t>
        </is>
      </c>
      <c r="M8" s="7" t="inlineStr">
        <is>
          <t>13202 Leopard Street Corpus Christi Texas 78410</t>
        </is>
      </c>
      <c r="N8" s="7" t="inlineStr"/>
      <c r="O8" s="7" t="inlineStr">
        <is>
          <t>TX</t>
        </is>
      </c>
      <c r="P8" s="7" t="inlineStr"/>
      <c r="Q8" s="7" t="inlineStr">
        <is>
          <t>Home Depot</t>
        </is>
      </c>
      <c r="R8" s="7" t="inlineStr">
        <is>
          <t>10536 Sentinel Dr San Antonio Texas</t>
        </is>
      </c>
      <c r="S8" s="7" t="n">
        <v>7</v>
      </c>
      <c r="T8" s="7" t="inlineStr"/>
      <c r="U8" s="7" t="n">
        <v>28</v>
      </c>
      <c r="V8" s="7" t="n">
        <v>42</v>
      </c>
      <c r="W8" s="7" t="n">
        <v>42</v>
      </c>
      <c r="X8" s="7" t="n">
        <v>21</v>
      </c>
      <c r="Y8" s="9" t="n">
        <v>0.95</v>
      </c>
      <c r="Z8" s="10">
        <f>SUM(U2:X2)*Y2</f>
        <v/>
      </c>
      <c r="AA8" s="7" t="inlineStr"/>
      <c r="AB8" s="7" t="inlineStr"/>
      <c r="AC8" s="7" t="inlineStr">
        <is>
          <t>06/18/2026 16:40</t>
        </is>
      </c>
      <c r="AD8" s="7" t="inlineStr">
        <is>
          <t>945504.pdf</t>
        </is>
      </c>
    </row>
    <row r="9">
      <c r="A9" s="7" t="inlineStr">
        <is>
          <t>945502</t>
        </is>
      </c>
      <c r="B9" s="7" t="inlineStr">
        <is>
          <t>HD6544</t>
        </is>
      </c>
      <c r="C9" s="8" t="inlineStr">
        <is>
          <t>06/23/2026</t>
        </is>
      </c>
      <c r="D9" s="7" t="inlineStr">
        <is>
          <t>Normal</t>
        </is>
      </c>
      <c r="E9" s="7" t="inlineStr">
        <is>
          <t>San Antonio</t>
        </is>
      </c>
      <c r="F9" s="7" t="inlineStr">
        <is>
          <t>Need to be assigned</t>
        </is>
      </c>
      <c r="G9" s="7" t="inlineStr"/>
      <c r="H9" s="7" t="inlineStr">
        <is>
          <t>San Antonio</t>
        </is>
      </c>
      <c r="I9" s="7" t="inlineStr">
        <is>
          <t>SUSATXUS</t>
        </is>
      </c>
      <c r="J9" s="7" t="inlineStr">
        <is>
          <t>Recovery</t>
        </is>
      </c>
      <c r="K9" s="7" t="inlineStr">
        <is>
          <t>San Antonio</t>
        </is>
      </c>
      <c r="L9" s="7" t="inlineStr">
        <is>
          <t>TX</t>
        </is>
      </c>
      <c r="M9" s="7" t="inlineStr">
        <is>
          <t>435 West Sunset Road West San Antonio Texas 78209</t>
        </is>
      </c>
      <c r="N9" s="7" t="inlineStr"/>
      <c r="O9" s="7" t="inlineStr">
        <is>
          <t>TX</t>
        </is>
      </c>
      <c r="P9" s="7" t="inlineStr"/>
      <c r="Q9" s="7" t="inlineStr">
        <is>
          <t>Home Depot</t>
        </is>
      </c>
      <c r="R9" s="7" t="inlineStr">
        <is>
          <t>10536 Sentinel Dr San Antonio Texas</t>
        </is>
      </c>
      <c r="S9" s="7" t="n">
        <v>8</v>
      </c>
      <c r="T9" s="7" t="inlineStr"/>
      <c r="U9" s="7" t="n">
        <v>32</v>
      </c>
      <c r="V9" s="7" t="n">
        <v>48</v>
      </c>
      <c r="W9" s="7" t="n">
        <v>48</v>
      </c>
      <c r="X9" s="7" t="n">
        <v>24</v>
      </c>
      <c r="Y9" s="9" t="n">
        <v>0.95</v>
      </c>
      <c r="Z9" s="10">
        <f>SUM(U2:X2)*Y2</f>
        <v/>
      </c>
      <c r="AA9" s="7" t="inlineStr"/>
      <c r="AB9" s="7" t="inlineStr"/>
      <c r="AC9" s="7" t="inlineStr">
        <is>
          <t>06/18/2026 16:40</t>
        </is>
      </c>
      <c r="AD9" s="7" t="inlineStr">
        <is>
          <t>945502.pdf</t>
        </is>
      </c>
    </row>
    <row r="10">
      <c r="A10" s="7" t="inlineStr">
        <is>
          <t>945487</t>
        </is>
      </c>
      <c r="B10" s="7" t="inlineStr">
        <is>
          <t>HD8437</t>
        </is>
      </c>
      <c r="C10" s="8" t="inlineStr">
        <is>
          <t>06/23/2026</t>
        </is>
      </c>
      <c r="D10" s="7" t="inlineStr">
        <is>
          <t>Normal</t>
        </is>
      </c>
      <c r="E10" s="7" t="inlineStr">
        <is>
          <t>San Antonio</t>
        </is>
      </c>
      <c r="F10" s="7" t="inlineStr">
        <is>
          <t>Need to be assigned</t>
        </is>
      </c>
      <c r="G10" s="7" t="inlineStr"/>
      <c r="H10" s="7" t="inlineStr">
        <is>
          <t>San Antonio</t>
        </is>
      </c>
      <c r="I10" s="7" t="inlineStr">
        <is>
          <t>SUSATXUS</t>
        </is>
      </c>
      <c r="J10" s="7" t="inlineStr">
        <is>
          <t>Recovery</t>
        </is>
      </c>
      <c r="K10" s="7" t="inlineStr">
        <is>
          <t>Seguin</t>
        </is>
      </c>
      <c r="L10" s="7" t="inlineStr">
        <is>
          <t>TX</t>
        </is>
      </c>
      <c r="M10" s="7" t="inlineStr">
        <is>
          <t>201 West Interstate 10 Seguin Texas 78155</t>
        </is>
      </c>
      <c r="N10" s="7" t="inlineStr"/>
      <c r="O10" s="7" t="inlineStr">
        <is>
          <t>TX</t>
        </is>
      </c>
      <c r="P10" s="7" t="inlineStr"/>
      <c r="Q10" s="7" t="inlineStr">
        <is>
          <t>Home Depot</t>
        </is>
      </c>
      <c r="R10" s="7" t="inlineStr">
        <is>
          <t>10536 Sentinel Dr San Antonio Texas</t>
        </is>
      </c>
      <c r="S10" s="7" t="n">
        <v>5</v>
      </c>
      <c r="T10" s="7" t="inlineStr"/>
      <c r="U10" s="7" t="n">
        <v>20</v>
      </c>
      <c r="V10" s="7" t="n">
        <v>30</v>
      </c>
      <c r="W10" s="7" t="n">
        <v>30</v>
      </c>
      <c r="X10" s="7" t="n">
        <v>15</v>
      </c>
      <c r="Y10" s="9" t="n">
        <v>0.95</v>
      </c>
      <c r="Z10" s="10">
        <f>SUM(U2:X2)*Y2</f>
        <v/>
      </c>
      <c r="AA10" s="7" t="inlineStr"/>
      <c r="AB10" s="7" t="inlineStr"/>
      <c r="AC10" s="7" t="inlineStr">
        <is>
          <t>06/18/2026 16:40</t>
        </is>
      </c>
      <c r="AD10" s="7" t="inlineStr">
        <is>
          <t>945487.pdf</t>
        </is>
      </c>
    </row>
    <row r="11">
      <c r="A11" s="7" t="inlineStr">
        <is>
          <t>945486</t>
        </is>
      </c>
      <c r="B11" s="7" t="inlineStr">
        <is>
          <t>HD6892</t>
        </is>
      </c>
      <c r="C11" s="8" t="inlineStr">
        <is>
          <t>06/23/2026</t>
        </is>
      </c>
      <c r="D11" s="7" t="inlineStr">
        <is>
          <t>Normal</t>
        </is>
      </c>
      <c r="E11" s="7" t="inlineStr">
        <is>
          <t>Austin</t>
        </is>
      </c>
      <c r="F11" s="7" t="inlineStr">
        <is>
          <t>Need to be assigned</t>
        </is>
      </c>
      <c r="G11" s="7" t="inlineStr"/>
      <c r="H11" s="7" t="inlineStr">
        <is>
          <t>Austin</t>
        </is>
      </c>
      <c r="I11" s="7" t="inlineStr">
        <is>
          <t>SUSATXUS</t>
        </is>
      </c>
      <c r="J11" s="7" t="inlineStr">
        <is>
          <t>Recovery</t>
        </is>
      </c>
      <c r="K11" s="7" t="inlineStr">
        <is>
          <t>Austin</t>
        </is>
      </c>
      <c r="L11" s="7" t="inlineStr">
        <is>
          <t>TX</t>
        </is>
      </c>
      <c r="M11" s="7" t="inlineStr">
        <is>
          <t>1200 Barbara Jordan Boulevard Austin Texas 78723</t>
        </is>
      </c>
      <c r="N11" s="7" t="inlineStr"/>
      <c r="O11" s="7" t="inlineStr">
        <is>
          <t>TX</t>
        </is>
      </c>
      <c r="P11" s="7" t="inlineStr"/>
      <c r="Q11" s="7" t="inlineStr">
        <is>
          <t>Home Depot</t>
        </is>
      </c>
      <c r="R11" s="7" t="inlineStr">
        <is>
          <t>10536 Sentinel Dr San Antonio Texas</t>
        </is>
      </c>
      <c r="S11" s="7" t="n">
        <v>8</v>
      </c>
      <c r="T11" s="7" t="inlineStr"/>
      <c r="U11" s="7" t="n">
        <v>32</v>
      </c>
      <c r="V11" s="7" t="n">
        <v>48</v>
      </c>
      <c r="W11" s="7" t="n">
        <v>48</v>
      </c>
      <c r="X11" s="7" t="n">
        <v>24</v>
      </c>
      <c r="Y11" s="9" t="n">
        <v>0.95</v>
      </c>
      <c r="Z11" s="10">
        <f>SUM(U2:X2)*Y2</f>
        <v/>
      </c>
      <c r="AA11" s="7" t="inlineStr"/>
      <c r="AB11" s="7" t="inlineStr"/>
      <c r="AC11" s="7" t="inlineStr">
        <is>
          <t>06/18/2026 16:40</t>
        </is>
      </c>
      <c r="AD11" s="7" t="inlineStr">
        <is>
          <t>945486.pdf</t>
        </is>
      </c>
    </row>
    <row r="12">
      <c r="A12" s="7" t="inlineStr">
        <is>
          <t>945485</t>
        </is>
      </c>
      <c r="B12" s="7" t="inlineStr">
        <is>
          <t>HD6839</t>
        </is>
      </c>
      <c r="C12" s="8" t="inlineStr">
        <is>
          <t>06/23/2026</t>
        </is>
      </c>
      <c r="D12" s="7" t="inlineStr">
        <is>
          <t>Normal</t>
        </is>
      </c>
      <c r="E12" s="7" t="inlineStr">
        <is>
          <t>Austin</t>
        </is>
      </c>
      <c r="F12" s="7" t="inlineStr">
        <is>
          <t>Need to be assigned</t>
        </is>
      </c>
      <c r="G12" s="7" t="inlineStr"/>
      <c r="H12" s="7" t="inlineStr">
        <is>
          <t>Austin</t>
        </is>
      </c>
      <c r="I12" s="7" t="inlineStr">
        <is>
          <t>SUSATXUS</t>
        </is>
      </c>
      <c r="J12" s="7" t="inlineStr">
        <is>
          <t>Recovery</t>
        </is>
      </c>
      <c r="K12" s="7" t="inlineStr">
        <is>
          <t>Austin</t>
        </is>
      </c>
      <c r="L12" s="7" t="inlineStr">
        <is>
          <t>TX</t>
        </is>
      </c>
      <c r="M12" s="7" t="inlineStr">
        <is>
          <t>10515 North Mopac Expressway Nb EXPY Austin Texas 78759</t>
        </is>
      </c>
      <c r="N12" s="7" t="inlineStr"/>
      <c r="O12" s="7" t="inlineStr">
        <is>
          <t>TX</t>
        </is>
      </c>
      <c r="P12" s="7" t="inlineStr"/>
      <c r="Q12" s="7" t="inlineStr">
        <is>
          <t>Home Depot</t>
        </is>
      </c>
      <c r="R12" s="7" t="inlineStr">
        <is>
          <t>10536 Sentinel Dr San Antonio Texas</t>
        </is>
      </c>
      <c r="S12" s="7" t="n">
        <v>9</v>
      </c>
      <c r="T12" s="7" t="inlineStr"/>
      <c r="U12" s="7" t="n">
        <v>36</v>
      </c>
      <c r="V12" s="7" t="n">
        <v>54</v>
      </c>
      <c r="W12" s="7" t="n">
        <v>54</v>
      </c>
      <c r="X12" s="7" t="n">
        <v>27</v>
      </c>
      <c r="Y12" s="9" t="n">
        <v>0.95</v>
      </c>
      <c r="Z12" s="10">
        <f>SUM(U2:X2)*Y2</f>
        <v/>
      </c>
      <c r="AA12" s="7" t="inlineStr"/>
      <c r="AB12" s="7" t="inlineStr"/>
      <c r="AC12" s="7" t="inlineStr">
        <is>
          <t>06/18/2026 16:40</t>
        </is>
      </c>
      <c r="AD12" s="7" t="inlineStr">
        <is>
          <t>945485.pdf</t>
        </is>
      </c>
    </row>
    <row r="13">
      <c r="A13" s="7" t="inlineStr">
        <is>
          <t>945475</t>
        </is>
      </c>
      <c r="B13" s="7" t="inlineStr">
        <is>
          <t>HD6575</t>
        </is>
      </c>
      <c r="C13" s="8" t="inlineStr">
        <is>
          <t>06/23/2026</t>
        </is>
      </c>
      <c r="D13" s="7" t="inlineStr">
        <is>
          <t>Normal</t>
        </is>
      </c>
      <c r="E13" s="7" t="inlineStr">
        <is>
          <t>San Antonio</t>
        </is>
      </c>
      <c r="F13" s="7" t="inlineStr">
        <is>
          <t>Need to be assigned</t>
        </is>
      </c>
      <c r="G13" s="7" t="inlineStr"/>
      <c r="H13" s="7" t="inlineStr">
        <is>
          <t>San Antonio</t>
        </is>
      </c>
      <c r="I13" s="7" t="inlineStr">
        <is>
          <t>SUSATXUS</t>
        </is>
      </c>
      <c r="J13" s="7" t="inlineStr">
        <is>
          <t>Recovery</t>
        </is>
      </c>
      <c r="K13" s="7" t="inlineStr">
        <is>
          <t>Bastrop</t>
        </is>
      </c>
      <c r="L13" s="7" t="inlineStr">
        <is>
          <t>TX</t>
        </is>
      </c>
      <c r="M13" s="7" t="inlineStr">
        <is>
          <t>525 State Highway 71 West Bastrop Texas 78602</t>
        </is>
      </c>
      <c r="N13" s="7" t="inlineStr"/>
      <c r="O13" s="7" t="inlineStr">
        <is>
          <t>TX</t>
        </is>
      </c>
      <c r="P13" s="7" t="inlineStr"/>
      <c r="Q13" s="7" t="inlineStr">
        <is>
          <t>Home Depot</t>
        </is>
      </c>
      <c r="R13" s="7" t="inlineStr">
        <is>
          <t>10536 Sentinel Dr San Antonio Texas</t>
        </is>
      </c>
      <c r="S13" s="7" t="n">
        <v>5</v>
      </c>
      <c r="T13" s="7" t="inlineStr"/>
      <c r="U13" s="7" t="n">
        <v>20</v>
      </c>
      <c r="V13" s="7" t="n">
        <v>30</v>
      </c>
      <c r="W13" s="7" t="n">
        <v>30</v>
      </c>
      <c r="X13" s="7" t="n">
        <v>15</v>
      </c>
      <c r="Y13" s="9" t="n">
        <v>0.95</v>
      </c>
      <c r="Z13" s="10">
        <f>SUM(U2:X2)*Y2</f>
        <v/>
      </c>
      <c r="AA13" s="7" t="inlineStr"/>
      <c r="AB13" s="7" t="inlineStr"/>
      <c r="AC13" s="7" t="inlineStr">
        <is>
          <t>06/18/2026 16:40</t>
        </is>
      </c>
      <c r="AD13" s="7" t="inlineStr">
        <is>
          <t>945475.pdf</t>
        </is>
      </c>
    </row>
    <row r="14">
      <c r="A14" s="7" t="inlineStr">
        <is>
          <t>945474</t>
        </is>
      </c>
      <c r="B14" s="7" t="inlineStr">
        <is>
          <t>HD6551</t>
        </is>
      </c>
      <c r="C14" s="8" t="inlineStr">
        <is>
          <t>06/23/2026</t>
        </is>
      </c>
      <c r="D14" s="7" t="inlineStr">
        <is>
          <t>Normal</t>
        </is>
      </c>
      <c r="E14" s="7" t="inlineStr">
        <is>
          <t>San Antonio</t>
        </is>
      </c>
      <c r="F14" s="7" t="inlineStr">
        <is>
          <t>Need to be assigned</t>
        </is>
      </c>
      <c r="G14" s="7" t="inlineStr"/>
      <c r="H14" s="7" t="inlineStr">
        <is>
          <t>San Antonio</t>
        </is>
      </c>
      <c r="I14" s="7" t="inlineStr">
        <is>
          <t>SUSATXUS</t>
        </is>
      </c>
      <c r="J14" s="7" t="inlineStr">
        <is>
          <t>Recovery</t>
        </is>
      </c>
      <c r="K14" s="7" t="inlineStr">
        <is>
          <t>Selma</t>
        </is>
      </c>
      <c r="L14" s="7" t="inlineStr">
        <is>
          <t>TX</t>
        </is>
      </c>
      <c r="M14" s="7" t="inlineStr">
        <is>
          <t>8138 Agora Parkway Selma Texas 78154</t>
        </is>
      </c>
      <c r="N14" s="7" t="inlineStr"/>
      <c r="O14" s="7" t="inlineStr">
        <is>
          <t>TX</t>
        </is>
      </c>
      <c r="P14" s="7" t="inlineStr"/>
      <c r="Q14" s="7" t="inlineStr">
        <is>
          <t>Home Depot</t>
        </is>
      </c>
      <c r="R14" s="7" t="inlineStr">
        <is>
          <t>10536 Sentinel Dr San Antonio Texas</t>
        </is>
      </c>
      <c r="S14" s="7" t="n">
        <v>7</v>
      </c>
      <c r="T14" s="7" t="inlineStr"/>
      <c r="U14" s="7" t="n">
        <v>28</v>
      </c>
      <c r="V14" s="7" t="n">
        <v>42</v>
      </c>
      <c r="W14" s="7" t="n">
        <v>42</v>
      </c>
      <c r="X14" s="7" t="n">
        <v>21</v>
      </c>
      <c r="Y14" s="9" t="n">
        <v>0.95</v>
      </c>
      <c r="Z14" s="10">
        <f>SUM(U2:X2)*Y2</f>
        <v/>
      </c>
      <c r="AA14" s="7" t="inlineStr"/>
      <c r="AB14" s="7" t="inlineStr"/>
      <c r="AC14" s="7" t="inlineStr">
        <is>
          <t>06/18/2026 16:40</t>
        </is>
      </c>
      <c r="AD14" s="7" t="inlineStr">
        <is>
          <t>945474.pdf</t>
        </is>
      </c>
    </row>
    <row r="15">
      <c r="A15" s="7" t="inlineStr">
        <is>
          <t>945472</t>
        </is>
      </c>
      <c r="B15" s="7" t="inlineStr">
        <is>
          <t>HD1348</t>
        </is>
      </c>
      <c r="C15" s="8" t="inlineStr">
        <is>
          <t>06/23/2026</t>
        </is>
      </c>
      <c r="D15" s="7" t="inlineStr">
        <is>
          <t>Normal</t>
        </is>
      </c>
      <c r="E15" s="7" t="inlineStr">
        <is>
          <t>Austin</t>
        </is>
      </c>
      <c r="F15" s="7" t="inlineStr">
        <is>
          <t>Need to be assigned</t>
        </is>
      </c>
      <c r="G15" s="7" t="inlineStr"/>
      <c r="H15" s="7" t="inlineStr">
        <is>
          <t>Austin</t>
        </is>
      </c>
      <c r="I15" s="7" t="inlineStr">
        <is>
          <t>SUSATXUS</t>
        </is>
      </c>
      <c r="J15" s="7" t="inlineStr">
        <is>
          <t>Recovery</t>
        </is>
      </c>
      <c r="K15" s="7" t="inlineStr">
        <is>
          <t>Leander</t>
        </is>
      </c>
      <c r="L15" s="7" t="inlineStr">
        <is>
          <t>TX</t>
        </is>
      </c>
      <c r="M15" s="7" t="inlineStr">
        <is>
          <t>9541 183A Toll FR Rd Leander Texas 78641</t>
        </is>
      </c>
      <c r="N15" s="7" t="inlineStr"/>
      <c r="O15" s="7" t="inlineStr">
        <is>
          <t>TX</t>
        </is>
      </c>
      <c r="P15" s="7" t="inlineStr"/>
      <c r="Q15" s="7" t="inlineStr">
        <is>
          <t>Home Depot</t>
        </is>
      </c>
      <c r="R15" s="7" t="inlineStr">
        <is>
          <t>10536 Sentinel Dr San Antonio Texas</t>
        </is>
      </c>
      <c r="S15" s="7" t="n">
        <v>11</v>
      </c>
      <c r="T15" s="7" t="inlineStr"/>
      <c r="U15" s="7" t="n">
        <v>44</v>
      </c>
      <c r="V15" s="7" t="n">
        <v>66</v>
      </c>
      <c r="W15" s="7" t="n">
        <v>66</v>
      </c>
      <c r="X15" s="7" t="n">
        <v>33</v>
      </c>
      <c r="Y15" s="9" t="n">
        <v>0.95</v>
      </c>
      <c r="Z15" s="10">
        <f>SUM(U2:X2)*Y2</f>
        <v/>
      </c>
      <c r="AA15" s="7" t="inlineStr"/>
      <c r="AB15" s="7" t="inlineStr"/>
      <c r="AC15" s="7" t="inlineStr">
        <is>
          <t>06/18/2026 16:40</t>
        </is>
      </c>
      <c r="AD15" s="7" t="inlineStr">
        <is>
          <t>945472.pdf</t>
        </is>
      </c>
    </row>
    <row r="16">
      <c r="A16" s="7" t="inlineStr">
        <is>
          <t>945470</t>
        </is>
      </c>
      <c r="B16" s="7" t="inlineStr">
        <is>
          <t>COPAUTX1</t>
        </is>
      </c>
      <c r="C16" s="8" t="inlineStr">
        <is>
          <t>06/23/2026</t>
        </is>
      </c>
      <c r="D16" s="7" t="inlineStr">
        <is>
          <t>Normal</t>
        </is>
      </c>
      <c r="E16" s="7" t="inlineStr">
        <is>
          <t>Austin</t>
        </is>
      </c>
      <c r="F16" s="7" t="inlineStr">
        <is>
          <t>Need to be assigned</t>
        </is>
      </c>
      <c r="G16" s="7" t="inlineStr"/>
      <c r="H16" s="7" t="inlineStr">
        <is>
          <t>Austin</t>
        </is>
      </c>
      <c r="I16" s="7" t="inlineStr">
        <is>
          <t>SUSATXUS</t>
        </is>
      </c>
      <c r="J16" s="7" t="inlineStr">
        <is>
          <t>Recovery</t>
        </is>
      </c>
      <c r="K16" s="7" t="inlineStr">
        <is>
          <t>Austin</t>
        </is>
      </c>
      <c r="L16" s="7" t="inlineStr">
        <is>
          <t>TX</t>
        </is>
      </c>
      <c r="M16" s="7" t="inlineStr">
        <is>
          <t>10944 Fitzhugh Road Austin Texas 78736</t>
        </is>
      </c>
      <c r="N16" s="7" t="inlineStr"/>
      <c r="O16" s="7" t="inlineStr">
        <is>
          <t>TX</t>
        </is>
      </c>
      <c r="P16" s="7" t="inlineStr"/>
      <c r="Q16" s="7" t="inlineStr">
        <is>
          <t>Copper Rock Nursery</t>
        </is>
      </c>
      <c r="R16" s="7" t="inlineStr">
        <is>
          <t>10536 Sentinel Dr San Antonio Texas</t>
        </is>
      </c>
      <c r="S16" s="7" t="n">
        <v>8</v>
      </c>
      <c r="T16" s="7" t="inlineStr"/>
      <c r="U16" s="7" t="n">
        <v>32</v>
      </c>
      <c r="V16" s="7" t="n">
        <v>48</v>
      </c>
      <c r="W16" s="7" t="n">
        <v>48</v>
      </c>
      <c r="X16" s="7" t="n">
        <v>24</v>
      </c>
      <c r="Y16" s="9" t="n">
        <v>0.95</v>
      </c>
      <c r="Z16" s="10">
        <f>SUM(U2:X2)*Y2</f>
        <v/>
      </c>
      <c r="AA16" s="7" t="inlineStr"/>
      <c r="AB16" s="7" t="inlineStr"/>
      <c r="AC16" s="7" t="inlineStr">
        <is>
          <t>06/18/2026 16:40</t>
        </is>
      </c>
      <c r="AD16" s="7" t="inlineStr">
        <is>
          <t>945470.pdf</t>
        </is>
      </c>
    </row>
    <row r="17">
      <c r="A17" s="7" t="inlineStr">
        <is>
          <t>945439</t>
        </is>
      </c>
      <c r="B17" s="7" t="inlineStr">
        <is>
          <t>MVNCATX</t>
        </is>
      </c>
      <c r="C17" s="8" t="inlineStr">
        <is>
          <t>06/23/2026</t>
        </is>
      </c>
      <c r="D17" s="7" t="inlineStr">
        <is>
          <t>Normal</t>
        </is>
      </c>
      <c r="E17" s="7" t="inlineStr">
        <is>
          <t>Atlanta</t>
        </is>
      </c>
      <c r="F17" s="7" t="inlineStr">
        <is>
          <t>Need to be assigned</t>
        </is>
      </c>
      <c r="G17" s="7" t="inlineStr"/>
      <c r="H17" s="7" t="inlineStr">
        <is>
          <t>Atlanta</t>
        </is>
      </c>
      <c r="I17" s="7" t="inlineStr">
        <is>
          <t>SUHOTXUS</t>
        </is>
      </c>
      <c r="J17" s="7" t="inlineStr">
        <is>
          <t>Recovery</t>
        </is>
      </c>
      <c r="K17" s="7" t="inlineStr">
        <is>
          <t>Carrollton</t>
        </is>
      </c>
      <c r="L17" s="7" t="inlineStr">
        <is>
          <t>TX</t>
        </is>
      </c>
      <c r="M17" s="7" t="inlineStr">
        <is>
          <t>1900 I-35E Carrollton Texas 75006</t>
        </is>
      </c>
      <c r="N17" s="7" t="inlineStr"/>
      <c r="O17" s="7" t="inlineStr">
        <is>
          <t>TX</t>
        </is>
      </c>
      <c r="P17" s="7" t="inlineStr"/>
      <c r="Q17" s="7" t="inlineStr">
        <is>
          <t>Moon Valley Nurseries</t>
        </is>
      </c>
      <c r="R17" s="7" t="inlineStr">
        <is>
          <t>403 Century Plaza Drive Houston Texas 77073</t>
        </is>
      </c>
      <c r="S17" s="7" t="n">
        <v>19</v>
      </c>
      <c r="T17" s="7" t="inlineStr"/>
      <c r="U17" s="7" t="n">
        <v>76</v>
      </c>
      <c r="V17" s="7" t="n">
        <v>114</v>
      </c>
      <c r="W17" s="7" t="n">
        <v>114</v>
      </c>
      <c r="X17" s="7" t="n">
        <v>57</v>
      </c>
      <c r="Y17" s="9" t="n">
        <v>0.95</v>
      </c>
      <c r="Z17" s="10">
        <f>SUM(U2:X2)*Y2</f>
        <v/>
      </c>
      <c r="AA17" s="7" t="inlineStr"/>
      <c r="AB17" s="7" t="inlineStr"/>
      <c r="AC17" s="7" t="inlineStr">
        <is>
          <t>06/18/2026 16:40</t>
        </is>
      </c>
      <c r="AD17" s="7" t="inlineStr">
        <is>
          <t>945439.pdf</t>
        </is>
      </c>
    </row>
    <row r="18">
      <c r="A18" s="7" t="inlineStr">
        <is>
          <t>945269</t>
        </is>
      </c>
      <c r="B18" s="7" t="inlineStr">
        <is>
          <t>LOWLATX1</t>
        </is>
      </c>
      <c r="C18" s="8" t="inlineStr">
        <is>
          <t>06/23/2026</t>
        </is>
      </c>
      <c r="D18" s="7" t="inlineStr">
        <is>
          <t>Normal</t>
        </is>
      </c>
      <c r="E18" s="7" t="inlineStr">
        <is>
          <t>San Antonio</t>
        </is>
      </c>
      <c r="F18" s="7" t="inlineStr">
        <is>
          <t>Need to be assigned</t>
        </is>
      </c>
      <c r="G18" s="7" t="inlineStr"/>
      <c r="H18" s="7" t="inlineStr">
        <is>
          <t>San Antonio</t>
        </is>
      </c>
      <c r="I18" s="7" t="inlineStr">
        <is>
          <t>SUSATXUS</t>
        </is>
      </c>
      <c r="J18" s="7" t="inlineStr">
        <is>
          <t>Recovery</t>
        </is>
      </c>
      <c r="K18" s="7" t="inlineStr">
        <is>
          <t>Lago Vista</t>
        </is>
      </c>
      <c r="L18" s="7" t="inlineStr">
        <is>
          <t>TX</t>
        </is>
      </c>
      <c r="M18" s="7" t="inlineStr">
        <is>
          <t>7708 Lohman Ford Road F Lago Vista Texas 78645</t>
        </is>
      </c>
      <c r="N18" s="7" t="inlineStr"/>
      <c r="O18" s="7" t="inlineStr">
        <is>
          <t>TX</t>
        </is>
      </c>
      <c r="P18" s="7" t="inlineStr"/>
      <c r="Q18" s="7" t="inlineStr">
        <is>
          <t>Ace Hardware</t>
        </is>
      </c>
      <c r="R18" s="7" t="inlineStr">
        <is>
          <t>10536 Sentinel Dr San Antonio Texas</t>
        </is>
      </c>
      <c r="S18" s="7" t="n">
        <v>4</v>
      </c>
      <c r="T18" s="7" t="inlineStr"/>
      <c r="U18" s="7" t="n">
        <v>16</v>
      </c>
      <c r="V18" s="7" t="n">
        <v>24</v>
      </c>
      <c r="W18" s="7" t="n">
        <v>24</v>
      </c>
      <c r="X18" s="7" t="n">
        <v>12</v>
      </c>
      <c r="Y18" s="9" t="n">
        <v>0.95</v>
      </c>
      <c r="Z18" s="10">
        <f>SUM(U2:X2)*Y2</f>
        <v/>
      </c>
      <c r="AA18" s="7" t="inlineStr"/>
      <c r="AB18" s="7" t="inlineStr"/>
      <c r="AC18" s="7" t="inlineStr">
        <is>
          <t>06/18/2026 16:40</t>
        </is>
      </c>
      <c r="AD18" s="7" t="inlineStr">
        <is>
          <t>945269.pdf</t>
        </is>
      </c>
    </row>
    <row r="19">
      <c r="A19" s="7" t="inlineStr">
        <is>
          <t>945268</t>
        </is>
      </c>
      <c r="B19" s="7" t="inlineStr">
        <is>
          <t>AUSAUTX1</t>
        </is>
      </c>
      <c r="C19" s="8" t="inlineStr">
        <is>
          <t>06/23/2026</t>
        </is>
      </c>
      <c r="D19" s="7" t="inlineStr">
        <is>
          <t>Normal</t>
        </is>
      </c>
      <c r="E19" s="7" t="inlineStr">
        <is>
          <t>Austin</t>
        </is>
      </c>
      <c r="F19" s="7" t="inlineStr">
        <is>
          <t>Need to be assigned</t>
        </is>
      </c>
      <c r="G19" s="7" t="inlineStr"/>
      <c r="H19" s="7" t="inlineStr">
        <is>
          <t>Austin</t>
        </is>
      </c>
      <c r="I19" s="7" t="inlineStr">
        <is>
          <t>SUSATXUS</t>
        </is>
      </c>
      <c r="J19" s="7" t="inlineStr">
        <is>
          <t>Recovery</t>
        </is>
      </c>
      <c r="K19" s="7" t="inlineStr">
        <is>
          <t>Austin</t>
        </is>
      </c>
      <c r="L19" s="7" t="inlineStr">
        <is>
          <t>TX</t>
        </is>
      </c>
      <c r="M19" s="7" t="inlineStr">
        <is>
          <t>443 Bastrop Highway Unit 2 Austin Texas 78741</t>
        </is>
      </c>
      <c r="N19" s="7" t="inlineStr"/>
      <c r="O19" s="7" t="inlineStr">
        <is>
          <t>TX</t>
        </is>
      </c>
      <c r="P19" s="7" t="inlineStr"/>
      <c r="Q19" s="7" t="inlineStr">
        <is>
          <t>Austin Plant Supply</t>
        </is>
      </c>
      <c r="R19" s="7" t="inlineStr">
        <is>
          <t>10536 Sentinel Dr San Antonio Texas</t>
        </is>
      </c>
      <c r="S19" s="7" t="n">
        <v>6</v>
      </c>
      <c r="T19" s="7" t="inlineStr"/>
      <c r="U19" s="7" t="n">
        <v>24</v>
      </c>
      <c r="V19" s="7" t="n">
        <v>36</v>
      </c>
      <c r="W19" s="7" t="n">
        <v>36</v>
      </c>
      <c r="X19" s="7" t="n">
        <v>18</v>
      </c>
      <c r="Y19" s="9" t="n">
        <v>0.95</v>
      </c>
      <c r="Z19" s="10">
        <f>SUM(U2:X2)*Y2</f>
        <v/>
      </c>
      <c r="AA19" s="7" t="inlineStr"/>
      <c r="AB19" s="7" t="inlineStr"/>
      <c r="AC19" s="7" t="inlineStr">
        <is>
          <t>06/18/2026 16:40</t>
        </is>
      </c>
      <c r="AD19" s="7" t="inlineStr">
        <is>
          <t>945268.pdf</t>
        </is>
      </c>
    </row>
    <row r="20">
      <c r="A20" s="7" t="inlineStr">
        <is>
          <t>945267</t>
        </is>
      </c>
      <c r="B20" s="7" t="inlineStr">
        <is>
          <t>LO2774</t>
        </is>
      </c>
      <c r="C20" s="8" t="inlineStr">
        <is>
          <t>06/23/2026</t>
        </is>
      </c>
      <c r="D20" s="7" t="inlineStr">
        <is>
          <t>Normal</t>
        </is>
      </c>
      <c r="E20" s="7" t="inlineStr">
        <is>
          <t>Austin</t>
        </is>
      </c>
      <c r="F20" s="7" t="inlineStr">
        <is>
          <t>Need to be assigned</t>
        </is>
      </c>
      <c r="G20" s="7" t="inlineStr"/>
      <c r="H20" s="7" t="inlineStr">
        <is>
          <t>Austin</t>
        </is>
      </c>
      <c r="I20" s="7" t="inlineStr">
        <is>
          <t>SUSATXUS</t>
        </is>
      </c>
      <c r="J20" s="7" t="inlineStr">
        <is>
          <t>Recovery</t>
        </is>
      </c>
      <c r="K20" s="7" t="inlineStr">
        <is>
          <t>Leander</t>
        </is>
      </c>
      <c r="L20" s="7" t="inlineStr">
        <is>
          <t>TX</t>
        </is>
      </c>
      <c r="M20" s="7" t="inlineStr">
        <is>
          <t>1495 South Highway 183 Leander Texas 78641</t>
        </is>
      </c>
      <c r="N20" s="7" t="inlineStr"/>
      <c r="O20" s="7" t="inlineStr">
        <is>
          <t>TX</t>
        </is>
      </c>
      <c r="P20" s="7" t="inlineStr"/>
      <c r="Q20" s="7" t="inlineStr">
        <is>
          <t>Lowes</t>
        </is>
      </c>
      <c r="R20" s="7" t="inlineStr">
        <is>
          <t>10536 Sentinel Dr San Antonio Texas</t>
        </is>
      </c>
      <c r="S20" s="7" t="n">
        <v>25</v>
      </c>
      <c r="T20" s="7" t="inlineStr"/>
      <c r="U20" s="7" t="n">
        <v>100</v>
      </c>
      <c r="V20" s="7" t="n">
        <v>150</v>
      </c>
      <c r="W20" s="7" t="n">
        <v>150</v>
      </c>
      <c r="X20" s="7" t="n">
        <v>238</v>
      </c>
      <c r="Y20" s="9" t="n">
        <v>0.95</v>
      </c>
      <c r="Z20" s="10">
        <f>SUM(U2:X2)*Y2</f>
        <v/>
      </c>
      <c r="AA20" s="7" t="inlineStr"/>
      <c r="AB20" s="7" t="inlineStr"/>
      <c r="AC20" s="7" t="inlineStr">
        <is>
          <t>06/18/2026 16:40</t>
        </is>
      </c>
      <c r="AD20" s="7" t="inlineStr">
        <is>
          <t>945267.pdf</t>
        </is>
      </c>
    </row>
    <row r="21">
      <c r="A21" s="7" t="inlineStr">
        <is>
          <t>945266</t>
        </is>
      </c>
      <c r="B21" s="7" t="inlineStr">
        <is>
          <t>SO165</t>
        </is>
      </c>
      <c r="C21" s="8" t="inlineStr">
        <is>
          <t>06/23/2026</t>
        </is>
      </c>
      <c r="D21" s="7" t="inlineStr">
        <is>
          <t>Normal</t>
        </is>
      </c>
      <c r="E21" s="7" t="inlineStr">
        <is>
          <t>San Antonio</t>
        </is>
      </c>
      <c r="F21" s="7" t="inlineStr">
        <is>
          <t>Need to be assigned</t>
        </is>
      </c>
      <c r="G21" s="7" t="inlineStr"/>
      <c r="H21" s="7" t="inlineStr">
        <is>
          <t>San Antonio</t>
        </is>
      </c>
      <c r="I21" s="7" t="inlineStr">
        <is>
          <t>SUSATXUS</t>
        </is>
      </c>
      <c r="J21" s="7" t="inlineStr">
        <is>
          <t>Recovery</t>
        </is>
      </c>
      <c r="K21" s="7" t="inlineStr">
        <is>
          <t>San Antonio</t>
        </is>
      </c>
      <c r="L21" s="7" t="inlineStr">
        <is>
          <t>TX</t>
        </is>
      </c>
      <c r="M21" s="7" t="inlineStr">
        <is>
          <t>15934 Nacogdoches Road San Antonio Texas 78247</t>
        </is>
      </c>
      <c r="N21" s="7" t="inlineStr"/>
      <c r="O21" s="7" t="inlineStr">
        <is>
          <t>TX</t>
        </is>
      </c>
      <c r="P21" s="7" t="inlineStr"/>
      <c r="Q21" s="7" t="inlineStr">
        <is>
          <t>Site One</t>
        </is>
      </c>
      <c r="R21" s="7" t="inlineStr">
        <is>
          <t>10536 Sentinel Dr San Antonio Texas</t>
        </is>
      </c>
      <c r="S21" s="7" t="n">
        <v>8</v>
      </c>
      <c r="T21" s="7" t="inlineStr"/>
      <c r="U21" s="7" t="n">
        <v>32</v>
      </c>
      <c r="V21" s="7" t="n">
        <v>48</v>
      </c>
      <c r="W21" s="7" t="n">
        <v>48</v>
      </c>
      <c r="X21" s="7" t="n">
        <v>24</v>
      </c>
      <c r="Y21" s="9" t="n">
        <v>0.95</v>
      </c>
      <c r="Z21" s="10">
        <f>SUM(U2:X2)*Y2</f>
        <v/>
      </c>
      <c r="AA21" s="7" t="inlineStr"/>
      <c r="AB21" s="7" t="inlineStr"/>
      <c r="AC21" s="7" t="inlineStr">
        <is>
          <t>06/18/2026 16:40</t>
        </is>
      </c>
      <c r="AD21" s="7" t="inlineStr">
        <is>
          <t>945266.pdf</t>
        </is>
      </c>
    </row>
    <row r="22">
      <c r="A22" s="7" t="inlineStr">
        <is>
          <t>945026</t>
        </is>
      </c>
      <c r="B22" s="7" t="inlineStr">
        <is>
          <t>LO90</t>
        </is>
      </c>
      <c r="C22" s="8" t="inlineStr">
        <is>
          <t>06/22/2026</t>
        </is>
      </c>
      <c r="D22" s="7" t="inlineStr">
        <is>
          <t>High</t>
        </is>
      </c>
      <c r="E22" s="7" t="inlineStr">
        <is>
          <t>Outlier</t>
        </is>
      </c>
      <c r="F22" s="7" t="inlineStr">
        <is>
          <t>Due within 4 days</t>
        </is>
      </c>
      <c r="G22" s="7" t="inlineStr"/>
      <c r="H22" s="7" t="inlineStr">
        <is>
          <t>Outlier</t>
        </is>
      </c>
      <c r="I22" s="7" t="inlineStr">
        <is>
          <t>SUSATXUS</t>
        </is>
      </c>
      <c r="J22" s="7" t="inlineStr">
        <is>
          <t>Recovery</t>
        </is>
      </c>
      <c r="K22" s="7" t="inlineStr">
        <is>
          <t>San Angelo</t>
        </is>
      </c>
      <c r="L22" s="7" t="inlineStr">
        <is>
          <t>TX</t>
        </is>
      </c>
      <c r="M22" s="7" t="inlineStr">
        <is>
          <t>5301 Sherwood Way San Angelo Texas 76904</t>
        </is>
      </c>
      <c r="N22" s="7" t="inlineStr"/>
      <c r="O22" s="7" t="inlineStr">
        <is>
          <t>TX</t>
        </is>
      </c>
      <c r="P22" s="7" t="inlineStr"/>
      <c r="Q22" s="7" t="inlineStr">
        <is>
          <t>Lowes</t>
        </is>
      </c>
      <c r="R22" s="7" t="inlineStr">
        <is>
          <t>10536 Sentinel Dr San Antonio Texas</t>
        </is>
      </c>
      <c r="S22" s="7" t="n">
        <v>27</v>
      </c>
      <c r="T22" s="7" t="inlineStr"/>
      <c r="U22" s="7" t="n">
        <v>108</v>
      </c>
      <c r="V22" s="7" t="n">
        <v>162</v>
      </c>
      <c r="W22" s="7" t="n">
        <v>162</v>
      </c>
      <c r="X22" s="7" t="n">
        <v>10536</v>
      </c>
      <c r="Y22" s="9" t="n">
        <v>0.95</v>
      </c>
      <c r="Z22" s="10">
        <f>SUM(U2:X2)*Y2</f>
        <v/>
      </c>
      <c r="AA22" s="7" t="inlineStr"/>
      <c r="AB22" s="7" t="inlineStr"/>
      <c r="AC22" s="7" t="inlineStr">
        <is>
          <t>06/18/2026 16:40</t>
        </is>
      </c>
      <c r="AD22" s="7" t="inlineStr">
        <is>
          <t>945026.pdf</t>
        </is>
      </c>
    </row>
    <row r="23">
      <c r="A23" s="7" t="inlineStr">
        <is>
          <t>945025</t>
        </is>
      </c>
      <c r="B23" s="7" t="inlineStr">
        <is>
          <t>OLISATX1</t>
        </is>
      </c>
      <c r="C23" s="8" t="inlineStr">
        <is>
          <t>06/22/2026</t>
        </is>
      </c>
      <c r="D23" s="7" t="inlineStr">
        <is>
          <t>High</t>
        </is>
      </c>
      <c r="E23" s="7" t="inlineStr">
        <is>
          <t>Outlier</t>
        </is>
      </c>
      <c r="F23" s="7" t="inlineStr">
        <is>
          <t>Due within 4 days</t>
        </is>
      </c>
      <c r="G23" s="7" t="inlineStr"/>
      <c r="H23" s="7" t="inlineStr">
        <is>
          <t>Outlier</t>
        </is>
      </c>
      <c r="I23" s="7" t="inlineStr">
        <is>
          <t>SUSATXUS</t>
        </is>
      </c>
      <c r="J23" s="7" t="inlineStr">
        <is>
          <t>Recovery</t>
        </is>
      </c>
      <c r="K23" s="7" t="inlineStr">
        <is>
          <t>San Angelo</t>
        </is>
      </c>
      <c r="L23" s="7" t="inlineStr">
        <is>
          <t>TX</t>
        </is>
      </c>
      <c r="M23" s="7" t="inlineStr">
        <is>
          <t>3402 Sherwood Way San Angelo Texas 76901</t>
        </is>
      </c>
      <c r="N23" s="7" t="inlineStr"/>
      <c r="O23" s="7" t="inlineStr">
        <is>
          <t>TX</t>
        </is>
      </c>
      <c r="P23" s="7" t="inlineStr"/>
      <c r="Q23" s="7" t="inlineStr">
        <is>
          <t>Olive Nursery Inc.</t>
        </is>
      </c>
      <c r="R23" s="7" t="inlineStr">
        <is>
          <t>10536 Sentinel Dr San Antonio Texas</t>
        </is>
      </c>
      <c r="S23" s="7" t="n">
        <v>15</v>
      </c>
      <c r="T23" s="7" t="inlineStr"/>
      <c r="U23" s="7" t="n">
        <v>60</v>
      </c>
      <c r="V23" s="7" t="n">
        <v>90</v>
      </c>
      <c r="W23" s="7" t="n">
        <v>90</v>
      </c>
      <c r="X23" s="7" t="n">
        <v>10536</v>
      </c>
      <c r="Y23" s="9" t="n">
        <v>0.95</v>
      </c>
      <c r="Z23" s="10">
        <f>SUM(U2:X2)*Y2</f>
        <v/>
      </c>
      <c r="AA23" s="7" t="inlineStr"/>
      <c r="AB23" s="7" t="inlineStr"/>
      <c r="AC23" s="7" t="inlineStr">
        <is>
          <t>06/18/2026 16:40</t>
        </is>
      </c>
      <c r="AD23" s="7" t="inlineStr">
        <is>
          <t>945025.pdf</t>
        </is>
      </c>
    </row>
    <row r="24">
      <c r="A24" s="7" t="inlineStr">
        <is>
          <t>945022</t>
        </is>
      </c>
      <c r="B24" s="7" t="inlineStr">
        <is>
          <t>HD6550</t>
        </is>
      </c>
      <c r="C24" s="8" t="inlineStr">
        <is>
          <t>06/22/2026</t>
        </is>
      </c>
      <c r="D24" s="7" t="inlineStr">
        <is>
          <t>High</t>
        </is>
      </c>
      <c r="E24" s="7" t="inlineStr">
        <is>
          <t>San Antonio</t>
        </is>
      </c>
      <c r="F24" s="7" t="inlineStr">
        <is>
          <t>Due within 4 days</t>
        </is>
      </c>
      <c r="G24" s="7" t="inlineStr"/>
      <c r="H24" s="7" t="inlineStr">
        <is>
          <t>San Antonio</t>
        </is>
      </c>
      <c r="I24" s="7" t="inlineStr">
        <is>
          <t>SUSATXUS</t>
        </is>
      </c>
      <c r="J24" s="7" t="inlineStr">
        <is>
          <t>Recovery</t>
        </is>
      </c>
      <c r="K24" s="7" t="inlineStr">
        <is>
          <t>San Antonio</t>
        </is>
      </c>
      <c r="L24" s="7" t="inlineStr">
        <is>
          <t>TX</t>
        </is>
      </c>
      <c r="M24" s="7" t="inlineStr">
        <is>
          <t>20740 U.S. Highway 281 North San Antonio Texas 78258</t>
        </is>
      </c>
      <c r="N24" s="7" t="inlineStr"/>
      <c r="O24" s="7" t="inlineStr">
        <is>
          <t>TX</t>
        </is>
      </c>
      <c r="P24" s="7" t="inlineStr"/>
      <c r="Q24" s="7" t="inlineStr">
        <is>
          <t>Home Depot</t>
        </is>
      </c>
      <c r="R24" s="7" t="inlineStr">
        <is>
          <t>10536 Sentinel Dr San Antonio Texas</t>
        </is>
      </c>
      <c r="S24" s="7" t="n">
        <v>12</v>
      </c>
      <c r="T24" s="7" t="inlineStr"/>
      <c r="U24" s="7" t="n">
        <v>48</v>
      </c>
      <c r="V24" s="7" t="n">
        <v>72</v>
      </c>
      <c r="W24" s="7" t="n">
        <v>72</v>
      </c>
      <c r="X24" s="7" t="n">
        <v>36</v>
      </c>
      <c r="Y24" s="9" t="n">
        <v>0.95</v>
      </c>
      <c r="Z24" s="10">
        <f>SUM(U2:X2)*Y2</f>
        <v/>
      </c>
      <c r="AA24" s="7" t="inlineStr"/>
      <c r="AB24" s="7" t="inlineStr"/>
      <c r="AC24" s="7" t="inlineStr">
        <is>
          <t>06/18/2026 16:40</t>
        </is>
      </c>
      <c r="AD24" s="7" t="inlineStr">
        <is>
          <t>945022.pdf</t>
        </is>
      </c>
    </row>
    <row r="25">
      <c r="A25" s="7" t="inlineStr">
        <is>
          <t>945021</t>
        </is>
      </c>
      <c r="B25" s="7" t="inlineStr">
        <is>
          <t>RAISATX1</t>
        </is>
      </c>
      <c r="C25" s="8" t="inlineStr">
        <is>
          <t>06/22/2026</t>
        </is>
      </c>
      <c r="D25" s="7" t="inlineStr">
        <is>
          <t>High</t>
        </is>
      </c>
      <c r="E25" s="7" t="inlineStr">
        <is>
          <t>San Antonio</t>
        </is>
      </c>
      <c r="F25" s="7" t="inlineStr">
        <is>
          <t>Due within 4 days</t>
        </is>
      </c>
      <c r="G25" s="7" t="inlineStr"/>
      <c r="H25" s="7" t="inlineStr">
        <is>
          <t>San Antonio</t>
        </is>
      </c>
      <c r="I25" s="7" t="inlineStr">
        <is>
          <t>SUSATXUS</t>
        </is>
      </c>
      <c r="J25" s="7" t="inlineStr">
        <is>
          <t>Recovery</t>
        </is>
      </c>
      <c r="K25" s="7" t="inlineStr">
        <is>
          <t>San Antonio</t>
        </is>
      </c>
      <c r="L25" s="7" t="inlineStr">
        <is>
          <t>TX</t>
        </is>
      </c>
      <c r="M25" s="7" t="inlineStr">
        <is>
          <t>2585 Thousand Oaks Drive San Antonio Texas 78232</t>
        </is>
      </c>
      <c r="N25" s="7" t="inlineStr"/>
      <c r="O25" s="7" t="inlineStr">
        <is>
          <t>TX</t>
        </is>
      </c>
      <c r="P25" s="7" t="inlineStr"/>
      <c r="Q25" s="7" t="inlineStr">
        <is>
          <t>Rainbow Gardens</t>
        </is>
      </c>
      <c r="R25" s="7" t="inlineStr">
        <is>
          <t>10536 Sentinel Dr San Antonio Texas</t>
        </is>
      </c>
      <c r="S25" s="7" t="n">
        <v>14</v>
      </c>
      <c r="T25" s="7" t="inlineStr"/>
      <c r="U25" s="7" t="n">
        <v>56</v>
      </c>
      <c r="V25" s="7" t="n">
        <v>84</v>
      </c>
      <c r="W25" s="7" t="n">
        <v>84</v>
      </c>
      <c r="X25" s="7" t="n">
        <v>42</v>
      </c>
      <c r="Y25" s="9" t="n">
        <v>0.95</v>
      </c>
      <c r="Z25" s="10">
        <f>SUM(U2:X2)*Y2</f>
        <v/>
      </c>
      <c r="AA25" s="7" t="inlineStr"/>
      <c r="AB25" s="7" t="inlineStr"/>
      <c r="AC25" s="7" t="inlineStr">
        <is>
          <t>06/18/2026 16:40</t>
        </is>
      </c>
      <c r="AD25" s="7" t="inlineStr">
        <is>
          <t>945021.pdf</t>
        </is>
      </c>
    </row>
    <row r="26">
      <c r="A26" s="7" t="inlineStr">
        <is>
          <t>944685</t>
        </is>
      </c>
      <c r="B26" s="7" t="inlineStr">
        <is>
          <t>SU008</t>
        </is>
      </c>
      <c r="C26" s="8" t="inlineStr">
        <is>
          <t>06/22/2026</t>
        </is>
      </c>
      <c r="D26" s="7" t="inlineStr">
        <is>
          <t>High</t>
        </is>
      </c>
      <c r="E26" s="7" t="inlineStr">
        <is>
          <t>Houston</t>
        </is>
      </c>
      <c r="F26" s="7" t="inlineStr">
        <is>
          <t>Due within 4 days</t>
        </is>
      </c>
      <c r="G26" s="7" t="inlineStr"/>
      <c r="H26" s="7" t="inlineStr">
        <is>
          <t>Houston</t>
        </is>
      </c>
      <c r="I26" s="7" t="inlineStr">
        <is>
          <t>SUHOTXUS</t>
        </is>
      </c>
      <c r="J26" s="7" t="inlineStr">
        <is>
          <t>Recovery</t>
        </is>
      </c>
      <c r="K26" s="7" t="inlineStr">
        <is>
          <t>Mineral Wells</t>
        </is>
      </c>
      <c r="L26" s="7" t="inlineStr">
        <is>
          <t>TX</t>
        </is>
      </c>
      <c r="M26" s="7" t="inlineStr">
        <is>
          <t>198 Garrett Morris Parkway Mineral Wells Texas 76067</t>
        </is>
      </c>
      <c r="N26" s="7" t="inlineStr"/>
      <c r="O26" s="7" t="inlineStr">
        <is>
          <t>TX</t>
        </is>
      </c>
      <c r="P26" s="7" t="inlineStr"/>
      <c r="Q26" s="7" t="inlineStr">
        <is>
          <t>Sutherlands</t>
        </is>
      </c>
      <c r="R26" s="7" t="inlineStr">
        <is>
          <t>403 Century Plaza Drive Houston Texas 77073</t>
        </is>
      </c>
      <c r="S26" s="7" t="n">
        <v>5</v>
      </c>
      <c r="T26" s="7" t="inlineStr"/>
      <c r="U26" s="7" t="n">
        <v>20</v>
      </c>
      <c r="V26" s="7" t="n">
        <v>30</v>
      </c>
      <c r="W26" s="7" t="n">
        <v>30</v>
      </c>
      <c r="X26" s="7" t="n">
        <v>15</v>
      </c>
      <c r="Y26" s="9" t="n">
        <v>0.95</v>
      </c>
      <c r="Z26" s="10">
        <f>SUM(U2:X2)*Y2</f>
        <v/>
      </c>
      <c r="AA26" s="7" t="inlineStr"/>
      <c r="AB26" s="7" t="inlineStr"/>
      <c r="AC26" s="7" t="inlineStr">
        <is>
          <t>06/18/2026 16:40</t>
        </is>
      </c>
      <c r="AD26" s="7" t="inlineStr">
        <is>
          <t>944685.pdf</t>
        </is>
      </c>
    </row>
    <row r="27">
      <c r="A27" s="7" t="inlineStr">
        <is>
          <t>944682</t>
        </is>
      </c>
      <c r="B27" s="7" t="inlineStr">
        <is>
          <t>DENDETX1</t>
        </is>
      </c>
      <c r="C27" s="8" t="inlineStr">
        <is>
          <t>06/22/2026</t>
        </is>
      </c>
      <c r="D27" s="7" t="inlineStr">
        <is>
          <t>High</t>
        </is>
      </c>
      <c r="E27" s="7" t="inlineStr">
        <is>
          <t>Houston</t>
        </is>
      </c>
      <c r="F27" s="7" t="inlineStr">
        <is>
          <t>In Process</t>
        </is>
      </c>
      <c r="G27" s="7" t="inlineStr"/>
      <c r="H27" s="7" t="inlineStr">
        <is>
          <t>Houston</t>
        </is>
      </c>
      <c r="I27" s="7" t="inlineStr">
        <is>
          <t>SUHOTXUS</t>
        </is>
      </c>
      <c r="J27" s="7" t="inlineStr">
        <is>
          <t>Recovery</t>
        </is>
      </c>
      <c r="K27" s="7" t="inlineStr">
        <is>
          <t>Denton</t>
        </is>
      </c>
      <c r="L27" s="7" t="inlineStr">
        <is>
          <t>TX</t>
        </is>
      </c>
      <c r="M27" s="7" t="inlineStr">
        <is>
          <t>912 West University Drive Denton Texas 76201</t>
        </is>
      </c>
      <c r="N27" s="7" t="inlineStr"/>
      <c r="O27" s="7" t="inlineStr">
        <is>
          <t>TX</t>
        </is>
      </c>
      <c r="P27" s="7" t="inlineStr"/>
      <c r="Q27" s="7" t="inlineStr">
        <is>
          <t>Ace Hardware</t>
        </is>
      </c>
      <c r="R27" s="7" t="inlineStr">
        <is>
          <t>403 Century Plaza Drive Houston Texas 77073</t>
        </is>
      </c>
      <c r="S27" s="7" t="n">
        <v>5</v>
      </c>
      <c r="T27" s="7" t="inlineStr"/>
      <c r="U27" s="7" t="n">
        <v>20</v>
      </c>
      <c r="V27" s="7" t="n">
        <v>30</v>
      </c>
      <c r="W27" s="7" t="n">
        <v>30</v>
      </c>
      <c r="X27" s="7" t="n">
        <v>15</v>
      </c>
      <c r="Y27" s="9" t="n">
        <v>0.95</v>
      </c>
      <c r="Z27" s="10">
        <f>SUM(U2:X2)*Y2</f>
        <v/>
      </c>
      <c r="AA27" s="7" t="inlineStr"/>
      <c r="AB27" s="7" t="inlineStr"/>
      <c r="AC27" s="7" t="inlineStr">
        <is>
          <t>06/18/2026 16:40</t>
        </is>
      </c>
      <c r="AD27" s="7" t="inlineStr">
        <is>
          <t>944682.pdf</t>
        </is>
      </c>
    </row>
    <row r="28">
      <c r="A28" s="7" t="inlineStr">
        <is>
          <t>944681</t>
        </is>
      </c>
      <c r="B28" s="7" t="inlineStr">
        <is>
          <t>LO514</t>
        </is>
      </c>
      <c r="C28" s="8" t="inlineStr">
        <is>
          <t>06/22/2026</t>
        </is>
      </c>
      <c r="D28" s="7" t="inlineStr">
        <is>
          <t>High</t>
        </is>
      </c>
      <c r="E28" s="7" t="inlineStr">
        <is>
          <t>Houston</t>
        </is>
      </c>
      <c r="F28" s="7" t="inlineStr">
        <is>
          <t>Due within 4 days</t>
        </is>
      </c>
      <c r="G28" s="7" t="inlineStr"/>
      <c r="H28" s="7" t="inlineStr">
        <is>
          <t>Houston</t>
        </is>
      </c>
      <c r="I28" s="7" t="inlineStr">
        <is>
          <t>SUHOTXUS</t>
        </is>
      </c>
      <c r="J28" s="7" t="inlineStr">
        <is>
          <t>Recovery</t>
        </is>
      </c>
      <c r="K28" s="7" t="inlineStr">
        <is>
          <t>Burleson</t>
        </is>
      </c>
      <c r="L28" s="7" t="inlineStr">
        <is>
          <t>TX</t>
        </is>
      </c>
      <c r="M28" s="7" t="inlineStr">
        <is>
          <t>920 North Burleson Boulevard Burleson Texas 76028</t>
        </is>
      </c>
      <c r="N28" s="7" t="inlineStr"/>
      <c r="O28" s="7" t="inlineStr">
        <is>
          <t>TX</t>
        </is>
      </c>
      <c r="P28" s="7" t="inlineStr"/>
      <c r="Q28" s="7" t="inlineStr">
        <is>
          <t>Lowes</t>
        </is>
      </c>
      <c r="R28" s="7" t="inlineStr">
        <is>
          <t>403 Century Plaza Drive Houston Texas 77073</t>
        </is>
      </c>
      <c r="S28" s="7" t="n">
        <v>6</v>
      </c>
      <c r="T28" s="7" t="inlineStr"/>
      <c r="U28" s="7" t="n">
        <v>24</v>
      </c>
      <c r="V28" s="7" t="n">
        <v>36</v>
      </c>
      <c r="W28" s="7" t="n">
        <v>36</v>
      </c>
      <c r="X28" s="7" t="n">
        <v>18</v>
      </c>
      <c r="Y28" s="9" t="n">
        <v>0.95</v>
      </c>
      <c r="Z28" s="10">
        <f>SUM(U2:X2)*Y2</f>
        <v/>
      </c>
      <c r="AA28" s="7" t="inlineStr"/>
      <c r="AB28" s="7" t="inlineStr"/>
      <c r="AC28" s="7" t="inlineStr">
        <is>
          <t>06/18/2026 16:40</t>
        </is>
      </c>
      <c r="AD28" s="7" t="inlineStr">
        <is>
          <t>944681.pdf</t>
        </is>
      </c>
    </row>
    <row r="29">
      <c r="A29" s="7" t="inlineStr">
        <is>
          <t>944680</t>
        </is>
      </c>
      <c r="B29" s="7" t="inlineStr">
        <is>
          <t>LO519</t>
        </is>
      </c>
      <c r="C29" s="8" t="inlineStr">
        <is>
          <t>06/22/2026</t>
        </is>
      </c>
      <c r="D29" s="7" t="inlineStr">
        <is>
          <t>High</t>
        </is>
      </c>
      <c r="E29" s="7" t="inlineStr">
        <is>
          <t>Houston</t>
        </is>
      </c>
      <c r="F29" s="7" t="inlineStr">
        <is>
          <t>Due within 4 days</t>
        </is>
      </c>
      <c r="G29" s="7" t="inlineStr"/>
      <c r="H29" s="7" t="inlineStr">
        <is>
          <t>Houston</t>
        </is>
      </c>
      <c r="I29" s="7" t="inlineStr">
        <is>
          <t>SUHOTXUS</t>
        </is>
      </c>
      <c r="J29" s="7" t="inlineStr">
        <is>
          <t>Recovery</t>
        </is>
      </c>
      <c r="K29" s="7" t="inlineStr">
        <is>
          <t>Longview</t>
        </is>
      </c>
      <c r="L29" s="7" t="inlineStr">
        <is>
          <t>TX</t>
        </is>
      </c>
      <c r="M29" s="7" t="inlineStr">
        <is>
          <t>3313 North Fourth Street Longview Texas 75605</t>
        </is>
      </c>
      <c r="N29" s="7" t="inlineStr"/>
      <c r="O29" s="7" t="inlineStr">
        <is>
          <t>TX</t>
        </is>
      </c>
      <c r="P29" s="7" t="inlineStr"/>
      <c r="Q29" s="7" t="inlineStr">
        <is>
          <t>Lowes</t>
        </is>
      </c>
      <c r="R29" s="7" t="inlineStr">
        <is>
          <t>403 Century Plaza Drive Houston Texas 77073</t>
        </is>
      </c>
      <c r="S29" s="7" t="n">
        <v>14</v>
      </c>
      <c r="T29" s="7" t="inlineStr"/>
      <c r="U29" s="7" t="n">
        <v>56</v>
      </c>
      <c r="V29" s="7" t="n">
        <v>84</v>
      </c>
      <c r="W29" s="7" t="n">
        <v>84</v>
      </c>
      <c r="X29" s="7" t="n">
        <v>42</v>
      </c>
      <c r="Y29" s="9" t="n">
        <v>0.95</v>
      </c>
      <c r="Z29" s="10">
        <f>SUM(U2:X2)*Y2</f>
        <v/>
      </c>
      <c r="AA29" s="7" t="inlineStr"/>
      <c r="AB29" s="7" t="inlineStr"/>
      <c r="AC29" s="7" t="inlineStr">
        <is>
          <t>06/18/2026 16:39</t>
        </is>
      </c>
      <c r="AD29" s="7" t="inlineStr">
        <is>
          <t>944680.pdf</t>
        </is>
      </c>
    </row>
    <row r="30">
      <c r="A30" s="7" t="inlineStr">
        <is>
          <t>944679</t>
        </is>
      </c>
      <c r="B30" s="7" t="inlineStr">
        <is>
          <t>LO1801</t>
        </is>
      </c>
      <c r="C30" s="8" t="inlineStr">
        <is>
          <t>06/22/2026</t>
        </is>
      </c>
      <c r="D30" s="7" t="inlineStr">
        <is>
          <t>High</t>
        </is>
      </c>
      <c r="E30" s="7" t="inlineStr">
        <is>
          <t>Houston</t>
        </is>
      </c>
      <c r="F30" s="7" t="inlineStr">
        <is>
          <t>Due within 4 days</t>
        </is>
      </c>
      <c r="G30" s="7" t="inlineStr"/>
      <c r="H30" s="7" t="inlineStr">
        <is>
          <t>Houston</t>
        </is>
      </c>
      <c r="I30" s="7" t="inlineStr">
        <is>
          <t>SUHOTXUS</t>
        </is>
      </c>
      <c r="J30" s="7" t="inlineStr">
        <is>
          <t>Recovery</t>
        </is>
      </c>
      <c r="K30" s="7" t="inlineStr">
        <is>
          <t>Gun Barrel City</t>
        </is>
      </c>
      <c r="L30" s="7" t="inlineStr">
        <is>
          <t>TX</t>
        </is>
      </c>
      <c r="M30" s="7" t="inlineStr">
        <is>
          <t>201 West Main Street Gun Barrel City Texas 75156</t>
        </is>
      </c>
      <c r="N30" s="7" t="inlineStr"/>
      <c r="O30" s="7" t="inlineStr">
        <is>
          <t>TX</t>
        </is>
      </c>
      <c r="P30" s="7" t="inlineStr"/>
      <c r="Q30" s="7" t="inlineStr">
        <is>
          <t>Lowes</t>
        </is>
      </c>
      <c r="R30" s="7" t="inlineStr">
        <is>
          <t>403 Century Plaza Drive Houston Texas 77073</t>
        </is>
      </c>
      <c r="S30" s="7" t="n">
        <v>6</v>
      </c>
      <c r="T30" s="7" t="inlineStr"/>
      <c r="U30" s="7" t="n">
        <v>24</v>
      </c>
      <c r="V30" s="7" t="n">
        <v>36</v>
      </c>
      <c r="W30" s="7" t="n">
        <v>36</v>
      </c>
      <c r="X30" s="7" t="n">
        <v>18</v>
      </c>
      <c r="Y30" s="9" t="n">
        <v>0.95</v>
      </c>
      <c r="Z30" s="10">
        <f>SUM(U2:X2)*Y2</f>
        <v/>
      </c>
      <c r="AA30" s="7" t="inlineStr"/>
      <c r="AB30" s="7" t="inlineStr"/>
      <c r="AC30" s="7" t="inlineStr">
        <is>
          <t>06/18/2026 16:39</t>
        </is>
      </c>
      <c r="AD30" s="7" t="inlineStr">
        <is>
          <t>944679.pdf</t>
        </is>
      </c>
    </row>
    <row r="31">
      <c r="A31" s="7" t="inlineStr">
        <is>
          <t>944678</t>
        </is>
      </c>
      <c r="B31" s="7" t="inlineStr">
        <is>
          <t>CA128</t>
        </is>
      </c>
      <c r="C31" s="8" t="inlineStr">
        <is>
          <t>06/22/2026</t>
        </is>
      </c>
      <c r="D31" s="7" t="inlineStr">
        <is>
          <t>High</t>
        </is>
      </c>
      <c r="E31" s="7" t="inlineStr">
        <is>
          <t>Dallas</t>
        </is>
      </c>
      <c r="F31" s="7" t="inlineStr">
        <is>
          <t>Due within 4 days</t>
        </is>
      </c>
      <c r="G31" s="7" t="inlineStr"/>
      <c r="H31" s="7" t="inlineStr">
        <is>
          <t>Dallas</t>
        </is>
      </c>
      <c r="I31" s="7" t="inlineStr">
        <is>
          <t>SUHOTXUS</t>
        </is>
      </c>
      <c r="J31" s="7" t="inlineStr">
        <is>
          <t>Recovery</t>
        </is>
      </c>
      <c r="K31" s="7" t="inlineStr">
        <is>
          <t>Fort Worth</t>
        </is>
      </c>
      <c r="L31" s="7" t="inlineStr">
        <is>
          <t>TX</t>
        </is>
      </c>
      <c r="M31" s="7" t="inlineStr">
        <is>
          <t>3936 North Tarrant Parkway Fort Worth Texas 76244</t>
        </is>
      </c>
      <c r="N31" s="7" t="inlineStr"/>
      <c r="O31" s="7" t="inlineStr">
        <is>
          <t>TX</t>
        </is>
      </c>
      <c r="P31" s="7" t="inlineStr"/>
      <c r="Q31" s="7" t="inlineStr">
        <is>
          <t>Calloways</t>
        </is>
      </c>
      <c r="R31" s="7" t="inlineStr">
        <is>
          <t>8101 Tristar Drive Suite 112 Irving Texas 75063</t>
        </is>
      </c>
      <c r="S31" s="7" t="n">
        <v>6</v>
      </c>
      <c r="T31" s="7" t="inlineStr"/>
      <c r="U31" s="7" t="n">
        <v>24</v>
      </c>
      <c r="V31" s="7" t="n">
        <v>36</v>
      </c>
      <c r="W31" s="7" t="n">
        <v>36</v>
      </c>
      <c r="X31" s="7" t="n">
        <v>18</v>
      </c>
      <c r="Y31" s="9" t="n">
        <v>0.95</v>
      </c>
      <c r="Z31" s="10">
        <f>SUM(U2:X2)*Y2</f>
        <v/>
      </c>
      <c r="AA31" s="7" t="inlineStr"/>
      <c r="AB31" s="7" t="inlineStr"/>
      <c r="AC31" s="7" t="inlineStr">
        <is>
          <t>06/18/2026 16:39</t>
        </is>
      </c>
      <c r="AD31" s="7" t="inlineStr">
        <is>
          <t>944678.pdf</t>
        </is>
      </c>
    </row>
    <row r="32">
      <c r="A32" s="7" t="inlineStr">
        <is>
          <t>944677</t>
        </is>
      </c>
      <c r="B32" s="7" t="inlineStr">
        <is>
          <t>LO2225</t>
        </is>
      </c>
      <c r="C32" s="8" t="inlineStr">
        <is>
          <t>06/22/2026</t>
        </is>
      </c>
      <c r="D32" s="7" t="inlineStr">
        <is>
          <t>High</t>
        </is>
      </c>
      <c r="E32" s="7" t="inlineStr">
        <is>
          <t>Houston</t>
        </is>
      </c>
      <c r="F32" s="7" t="inlineStr">
        <is>
          <t>Due within 4 days</t>
        </is>
      </c>
      <c r="G32" s="7" t="inlineStr"/>
      <c r="H32" s="7" t="inlineStr">
        <is>
          <t>Houston</t>
        </is>
      </c>
      <c r="I32" s="7" t="inlineStr">
        <is>
          <t>SUHOTXUS</t>
        </is>
      </c>
      <c r="J32" s="7" t="inlineStr">
        <is>
          <t>Recovery</t>
        </is>
      </c>
      <c r="K32" s="7" t="inlineStr">
        <is>
          <t>Granbury</t>
        </is>
      </c>
      <c r="L32" s="7" t="inlineStr">
        <is>
          <t>TX</t>
        </is>
      </c>
      <c r="M32" s="7" t="inlineStr">
        <is>
          <t>1021 East US Highway 377 Granbury Texas 76048</t>
        </is>
      </c>
      <c r="N32" s="7" t="inlineStr"/>
      <c r="O32" s="7" t="inlineStr">
        <is>
          <t>TX</t>
        </is>
      </c>
      <c r="P32" s="7" t="inlineStr"/>
      <c r="Q32" s="7" t="inlineStr">
        <is>
          <t>Lowes</t>
        </is>
      </c>
      <c r="R32" s="7" t="inlineStr">
        <is>
          <t>403 Century Plaza Drive Houston Texas 77073</t>
        </is>
      </c>
      <c r="S32" s="7" t="n">
        <v>10</v>
      </c>
      <c r="T32" s="7" t="inlineStr"/>
      <c r="U32" s="7" t="n">
        <v>40</v>
      </c>
      <c r="V32" s="7" t="n">
        <v>60</v>
      </c>
      <c r="W32" s="7" t="n">
        <v>60</v>
      </c>
      <c r="X32" s="7" t="n">
        <v>30</v>
      </c>
      <c r="Y32" s="9" t="n">
        <v>0.95</v>
      </c>
      <c r="Z32" s="10">
        <f>SUM(U2:X2)*Y2</f>
        <v/>
      </c>
      <c r="AA32" s="7" t="inlineStr"/>
      <c r="AB32" s="7" t="inlineStr"/>
      <c r="AC32" s="7" t="inlineStr">
        <is>
          <t>06/18/2026 16:39</t>
        </is>
      </c>
      <c r="AD32" s="7" t="inlineStr">
        <is>
          <t>944677.pdf</t>
        </is>
      </c>
    </row>
    <row r="33">
      <c r="A33" s="7" t="inlineStr">
        <is>
          <t>944676</t>
        </is>
      </c>
      <c r="B33" s="7" t="inlineStr">
        <is>
          <t>ELLBOLA1</t>
        </is>
      </c>
      <c r="C33" s="8" t="inlineStr">
        <is>
          <t>06/22/2026</t>
        </is>
      </c>
      <c r="D33" s="7" t="inlineStr">
        <is>
          <t>High</t>
        </is>
      </c>
      <c r="E33" s="7" t="inlineStr">
        <is>
          <t>Houston</t>
        </is>
      </c>
      <c r="F33" s="7" t="inlineStr">
        <is>
          <t>Due within 4 days</t>
        </is>
      </c>
      <c r="G33" s="7" t="inlineStr"/>
      <c r="H33" s="7" t="inlineStr">
        <is>
          <t>Houston</t>
        </is>
      </c>
      <c r="I33" s="7" t="inlineStr">
        <is>
          <t>SUHOTXUS</t>
        </is>
      </c>
      <c r="J33" s="7" t="inlineStr">
        <is>
          <t>Recovery</t>
        </is>
      </c>
      <c r="K33" s="7" t="inlineStr">
        <is>
          <t>Houston</t>
        </is>
      </c>
      <c r="L33" s="7" t="inlineStr">
        <is>
          <t>TX</t>
        </is>
      </c>
      <c r="M33" s="7" t="inlineStr">
        <is>
          <t>1150 Airline Drive Bossier City Louisiana 71112</t>
        </is>
      </c>
      <c r="N33" s="7" t="inlineStr"/>
      <c r="O33" s="7" t="inlineStr">
        <is>
          <t>TX</t>
        </is>
      </c>
      <c r="P33" s="7" t="inlineStr"/>
      <c r="Q33" s="7" t="inlineStr">
        <is>
          <t>Ellis Home &amp; Garden</t>
        </is>
      </c>
      <c r="R33" s="7" t="inlineStr">
        <is>
          <t>403 Century Plaza Drive Houston Texas 77073</t>
        </is>
      </c>
      <c r="S33" s="7" t="n">
        <v>10</v>
      </c>
      <c r="T33" s="7" t="inlineStr"/>
      <c r="U33" s="7" t="n">
        <v>40</v>
      </c>
      <c r="V33" s="7" t="n">
        <v>60</v>
      </c>
      <c r="W33" s="7" t="n">
        <v>60</v>
      </c>
      <c r="X33" s="7" t="n">
        <v>30</v>
      </c>
      <c r="Y33" s="9" t="n">
        <v>0.95</v>
      </c>
      <c r="Z33" s="10">
        <f>SUM(U2:X2)*Y2</f>
        <v/>
      </c>
      <c r="AA33" s="7" t="inlineStr"/>
      <c r="AB33" s="7" t="inlineStr"/>
      <c r="AC33" s="7" t="inlineStr">
        <is>
          <t>06/18/2026 16:39</t>
        </is>
      </c>
      <c r="AD33" s="7" t="inlineStr">
        <is>
          <t>944676.pdf</t>
        </is>
      </c>
    </row>
    <row r="34">
      <c r="A34" s="7" t="inlineStr">
        <is>
          <t>944675</t>
        </is>
      </c>
      <c r="B34" s="7" t="inlineStr">
        <is>
          <t>CA127</t>
        </is>
      </c>
      <c r="C34" s="8" t="inlineStr">
        <is>
          <t>06/22/2026</t>
        </is>
      </c>
      <c r="D34" s="7" t="inlineStr">
        <is>
          <t>High</t>
        </is>
      </c>
      <c r="E34" s="7" t="inlineStr">
        <is>
          <t>Houston</t>
        </is>
      </c>
      <c r="F34" s="7" t="inlineStr">
        <is>
          <t>In Process</t>
        </is>
      </c>
      <c r="G34" s="7" t="inlineStr"/>
      <c r="H34" s="7" t="inlineStr">
        <is>
          <t>Houston</t>
        </is>
      </c>
      <c r="I34" s="7" t="inlineStr">
        <is>
          <t>SUHOTXUS</t>
        </is>
      </c>
      <c r="J34" s="7" t="inlineStr">
        <is>
          <t>Recovery</t>
        </is>
      </c>
      <c r="K34" s="7" t="inlineStr">
        <is>
          <t>Little Elm</t>
        </is>
      </c>
      <c r="L34" s="7" t="inlineStr">
        <is>
          <t>TX</t>
        </is>
      </c>
      <c r="M34" s="7" t="inlineStr">
        <is>
          <t>1801 Farm to Market Road 423 Little Elm Texas 75068</t>
        </is>
      </c>
      <c r="N34" s="7" t="inlineStr"/>
      <c r="O34" s="7" t="inlineStr">
        <is>
          <t>TX</t>
        </is>
      </c>
      <c r="P34" s="7" t="inlineStr"/>
      <c r="Q34" s="7" t="inlineStr">
        <is>
          <t>Calloways</t>
        </is>
      </c>
      <c r="R34" s="7" t="inlineStr">
        <is>
          <t>403 Century Plaza Drive Houston Texas 77073</t>
        </is>
      </c>
      <c r="S34" s="7" t="n">
        <v>10</v>
      </c>
      <c r="T34" s="7" t="inlineStr"/>
      <c r="U34" s="7" t="n">
        <v>40</v>
      </c>
      <c r="V34" s="7" t="n">
        <v>60</v>
      </c>
      <c r="W34" s="7" t="n">
        <v>60</v>
      </c>
      <c r="X34" s="7" t="n">
        <v>30</v>
      </c>
      <c r="Y34" s="9" t="n">
        <v>0.95</v>
      </c>
      <c r="Z34" s="10">
        <f>SUM(U2:X2)*Y2</f>
        <v/>
      </c>
      <c r="AA34" s="7" t="inlineStr"/>
      <c r="AB34" s="7" t="inlineStr"/>
      <c r="AC34" s="7" t="inlineStr">
        <is>
          <t>06/18/2026 16:39</t>
        </is>
      </c>
      <c r="AD34" s="7" t="inlineStr">
        <is>
          <t>944675.pdf</t>
        </is>
      </c>
    </row>
    <row r="35">
      <c r="A35" s="7" t="inlineStr">
        <is>
          <t>944674</t>
        </is>
      </c>
      <c r="B35" s="7" t="inlineStr">
        <is>
          <t>AKISHLA1</t>
        </is>
      </c>
      <c r="C35" s="8" t="inlineStr">
        <is>
          <t>06/22/2026</t>
        </is>
      </c>
      <c r="D35" s="7" t="inlineStr">
        <is>
          <t>High</t>
        </is>
      </c>
      <c r="E35" s="7" t="inlineStr">
        <is>
          <t>Houston</t>
        </is>
      </c>
      <c r="F35" s="7" t="inlineStr">
        <is>
          <t>Due within 4 days</t>
        </is>
      </c>
      <c r="G35" s="7" t="inlineStr"/>
      <c r="H35" s="7" t="inlineStr">
        <is>
          <t>Houston</t>
        </is>
      </c>
      <c r="I35" s="7" t="inlineStr">
        <is>
          <t>SUHOTXUS</t>
        </is>
      </c>
      <c r="J35" s="7" t="inlineStr">
        <is>
          <t>Recovery</t>
        </is>
      </c>
      <c r="K35" s="7" t="inlineStr">
        <is>
          <t>Houston</t>
        </is>
      </c>
      <c r="L35" s="7" t="inlineStr">
        <is>
          <t>TX</t>
        </is>
      </c>
      <c r="M35" s="7" t="inlineStr">
        <is>
          <t>5901 East Kings Highway Shreveport Louisiana 71105</t>
        </is>
      </c>
      <c r="N35" s="7" t="inlineStr"/>
      <c r="O35" s="7" t="inlineStr">
        <is>
          <t>TX</t>
        </is>
      </c>
      <c r="P35" s="7" t="inlineStr"/>
      <c r="Q35" s="7" t="inlineStr">
        <is>
          <t>Akins Nursery</t>
        </is>
      </c>
      <c r="R35" s="7" t="inlineStr">
        <is>
          <t>403 Century Plaza Drive Houston Texas 77073</t>
        </is>
      </c>
      <c r="S35" s="7" t="n">
        <v>10</v>
      </c>
      <c r="T35" s="7" t="inlineStr"/>
      <c r="U35" s="7" t="n">
        <v>40</v>
      </c>
      <c r="V35" s="7" t="n">
        <v>60</v>
      </c>
      <c r="W35" s="7" t="n">
        <v>60</v>
      </c>
      <c r="X35" s="7" t="n">
        <v>30</v>
      </c>
      <c r="Y35" s="9" t="n">
        <v>0.95</v>
      </c>
      <c r="Z35" s="10">
        <f>SUM(U2:X2)*Y2</f>
        <v/>
      </c>
      <c r="AA35" s="7" t="inlineStr"/>
      <c r="AB35" s="7" t="inlineStr"/>
      <c r="AC35" s="7" t="inlineStr">
        <is>
          <t>06/18/2026 16:39</t>
        </is>
      </c>
      <c r="AD35" s="7" t="inlineStr">
        <is>
          <t>944674.pdf</t>
        </is>
      </c>
    </row>
    <row r="36">
      <c r="A36" s="7" t="inlineStr">
        <is>
          <t>944672</t>
        </is>
      </c>
      <c r="B36" s="7" t="inlineStr">
        <is>
          <t>LO1582</t>
        </is>
      </c>
      <c r="C36" s="8" t="inlineStr">
        <is>
          <t>06/22/2026</t>
        </is>
      </c>
      <c r="D36" s="7" t="inlineStr">
        <is>
          <t>High</t>
        </is>
      </c>
      <c r="E36" s="7" t="inlineStr">
        <is>
          <t>Dallas</t>
        </is>
      </c>
      <c r="F36" s="7" t="inlineStr">
        <is>
          <t>Due within 4 days</t>
        </is>
      </c>
      <c r="G36" s="7" t="inlineStr"/>
      <c r="H36" s="7" t="inlineStr">
        <is>
          <t>Dallas</t>
        </is>
      </c>
      <c r="I36" s="7" t="inlineStr">
        <is>
          <t>SUHOTXUS</t>
        </is>
      </c>
      <c r="J36" s="7" t="inlineStr">
        <is>
          <t>Recovery</t>
        </is>
      </c>
      <c r="K36" s="7" t="inlineStr">
        <is>
          <t>Fort Worth</t>
        </is>
      </c>
      <c r="L36" s="7" t="inlineStr">
        <is>
          <t>TX</t>
        </is>
      </c>
      <c r="M36" s="7" t="inlineStr">
        <is>
          <t>3500 Northwest Centre Drive Fort Worth Texas 76135</t>
        </is>
      </c>
      <c r="N36" s="7" t="inlineStr"/>
      <c r="O36" s="7" t="inlineStr">
        <is>
          <t>TX</t>
        </is>
      </c>
      <c r="P36" s="7" t="inlineStr"/>
      <c r="Q36" s="7" t="inlineStr">
        <is>
          <t>Lowes</t>
        </is>
      </c>
      <c r="R36" s="7" t="inlineStr">
        <is>
          <t>8101 Tristar Drive Suite 112 Irving Texas 75063</t>
        </is>
      </c>
      <c r="S36" s="7" t="n">
        <v>12</v>
      </c>
      <c r="T36" s="7" t="inlineStr"/>
      <c r="U36" s="7" t="n">
        <v>48</v>
      </c>
      <c r="V36" s="7" t="n">
        <v>72</v>
      </c>
      <c r="W36" s="7" t="n">
        <v>72</v>
      </c>
      <c r="X36" s="7" t="n">
        <v>36</v>
      </c>
      <c r="Y36" s="9" t="n">
        <v>0.95</v>
      </c>
      <c r="Z36" s="10">
        <f>SUM(U2:X2)*Y2</f>
        <v/>
      </c>
      <c r="AA36" s="7" t="inlineStr"/>
      <c r="AB36" s="7" t="inlineStr"/>
      <c r="AC36" s="7" t="inlineStr">
        <is>
          <t>06/18/2026 16:39</t>
        </is>
      </c>
      <c r="AD36" s="7" t="inlineStr">
        <is>
          <t>944672.pdf</t>
        </is>
      </c>
    </row>
    <row r="37">
      <c r="A37" s="7" t="inlineStr">
        <is>
          <t>942871</t>
        </is>
      </c>
      <c r="B37" s="7" t="inlineStr">
        <is>
          <t>HD6560</t>
        </is>
      </c>
      <c r="C37" s="8" t="inlineStr">
        <is>
          <t>06/26/2026</t>
        </is>
      </c>
      <c r="D37" s="7" t="inlineStr">
        <is>
          <t>Normal</t>
        </is>
      </c>
      <c r="E37" s="7" t="inlineStr">
        <is>
          <t>Houston</t>
        </is>
      </c>
      <c r="F37" s="7" t="inlineStr">
        <is>
          <t>Need to be assigned</t>
        </is>
      </c>
      <c r="G37" s="7" t="inlineStr"/>
      <c r="H37" s="7" t="inlineStr">
        <is>
          <t>Houston</t>
        </is>
      </c>
      <c r="I37" s="7" t="inlineStr">
        <is>
          <t>SUHOTXUS</t>
        </is>
      </c>
      <c r="J37" s="7" t="inlineStr">
        <is>
          <t>Recovery</t>
        </is>
      </c>
      <c r="K37" s="7" t="inlineStr">
        <is>
          <t>Clear Lake Shores</t>
        </is>
      </c>
      <c r="L37" s="7" t="inlineStr">
        <is>
          <t>TX</t>
        </is>
      </c>
      <c r="M37" s="7" t="inlineStr">
        <is>
          <t>355 Farm to Market 2094 Clear Lake Shores Texas 77565</t>
        </is>
      </c>
      <c r="N37" s="7" t="inlineStr"/>
      <c r="O37" s="7" t="inlineStr">
        <is>
          <t>TX</t>
        </is>
      </c>
      <c r="P37" s="7" t="inlineStr"/>
      <c r="Q37" s="7" t="inlineStr">
        <is>
          <t>Home Depot</t>
        </is>
      </c>
      <c r="R37" s="7" t="inlineStr">
        <is>
          <t>403 Century Plaza Drive Houston Texas 77073</t>
        </is>
      </c>
      <c r="S37" s="7" t="n">
        <v>8</v>
      </c>
      <c r="T37" s="7" t="inlineStr"/>
      <c r="U37" s="7" t="n">
        <v>32</v>
      </c>
      <c r="V37" s="7" t="n">
        <v>48</v>
      </c>
      <c r="W37" s="7" t="n">
        <v>48</v>
      </c>
      <c r="X37" s="7" t="n">
        <v>24</v>
      </c>
      <c r="Y37" s="9" t="n">
        <v>0.95</v>
      </c>
      <c r="Z37" s="10">
        <f>SUM(U2:X2)*Y2</f>
        <v/>
      </c>
      <c r="AA37" s="7" t="inlineStr"/>
      <c r="AB37" s="7" t="inlineStr"/>
      <c r="AC37" s="7" t="inlineStr">
        <is>
          <t>06/18/2026 16:39</t>
        </is>
      </c>
      <c r="AD37" s="7" t="inlineStr">
        <is>
          <t>942871.pdf</t>
        </is>
      </c>
    </row>
    <row r="38">
      <c r="A38" s="7" t="inlineStr">
        <is>
          <t>942870</t>
        </is>
      </c>
      <c r="B38" s="7" t="inlineStr">
        <is>
          <t>HD1853</t>
        </is>
      </c>
      <c r="C38" s="8" t="inlineStr">
        <is>
          <t>06/18/2026</t>
        </is>
      </c>
      <c r="D38" s="7" t="inlineStr">
        <is>
          <t>High</t>
        </is>
      </c>
      <c r="E38" s="7" t="inlineStr">
        <is>
          <t>Houston</t>
        </is>
      </c>
      <c r="F38" s="7" t="inlineStr">
        <is>
          <t>Due within 4 days</t>
        </is>
      </c>
      <c r="G38" s="7" t="inlineStr"/>
      <c r="H38" s="7" t="inlineStr">
        <is>
          <t>Houston</t>
        </is>
      </c>
      <c r="I38" s="7" t="inlineStr">
        <is>
          <t>SUHOTXUS</t>
        </is>
      </c>
      <c r="J38" s="7" t="inlineStr">
        <is>
          <t>Recovery</t>
        </is>
      </c>
      <c r="K38" s="7" t="inlineStr">
        <is>
          <t>League City</t>
        </is>
      </c>
      <c r="L38" s="7" t="inlineStr">
        <is>
          <t>TX</t>
        </is>
      </c>
      <c r="M38" s="7" t="inlineStr">
        <is>
          <t>3200 South Gulf Freeway League City Texas 77573</t>
        </is>
      </c>
      <c r="N38" s="7" t="inlineStr"/>
      <c r="O38" s="7" t="inlineStr">
        <is>
          <t>TX</t>
        </is>
      </c>
      <c r="P38" s="7" t="inlineStr"/>
      <c r="Q38" s="7" t="inlineStr">
        <is>
          <t>Home Depot</t>
        </is>
      </c>
      <c r="R38" s="7" t="inlineStr">
        <is>
          <t>403 Century Plaza Drive Houston Texas 77073</t>
        </is>
      </c>
      <c r="S38" s="7" t="n">
        <v>6</v>
      </c>
      <c r="T38" s="7" t="inlineStr"/>
      <c r="U38" s="7" t="n">
        <v>24</v>
      </c>
      <c r="V38" s="7" t="n">
        <v>36</v>
      </c>
      <c r="W38" s="7" t="n">
        <v>36</v>
      </c>
      <c r="X38" s="7" t="n">
        <v>18</v>
      </c>
      <c r="Y38" s="9" t="n">
        <v>0.95</v>
      </c>
      <c r="Z38" s="10">
        <f>SUM(U2:X2)*Y2</f>
        <v/>
      </c>
      <c r="AA38" s="7" t="inlineStr"/>
      <c r="AB38" s="7" t="inlineStr"/>
      <c r="AC38" s="7" t="inlineStr">
        <is>
          <t>06/18/2026 16:39</t>
        </is>
      </c>
      <c r="AD38" s="7" t="inlineStr">
        <is>
          <t>942870.pdf</t>
        </is>
      </c>
    </row>
    <row r="39">
      <c r="A39" s="7" t="inlineStr">
        <is>
          <t>942862</t>
        </is>
      </c>
      <c r="B39" s="7" t="inlineStr">
        <is>
          <t>LO1772</t>
        </is>
      </c>
      <c r="C39" s="8" t="inlineStr">
        <is>
          <t>06/18/2026</t>
        </is>
      </c>
      <c r="D39" s="7" t="inlineStr">
        <is>
          <t>High</t>
        </is>
      </c>
      <c r="E39" s="7" t="inlineStr">
        <is>
          <t>Houston</t>
        </is>
      </c>
      <c r="F39" s="7" t="inlineStr">
        <is>
          <t>Due within 4 days</t>
        </is>
      </c>
      <c r="G39" s="7" t="inlineStr"/>
      <c r="H39" s="7" t="inlineStr">
        <is>
          <t>Houston</t>
        </is>
      </c>
      <c r="I39" s="7" t="inlineStr">
        <is>
          <t>SUHOTXUS</t>
        </is>
      </c>
      <c r="J39" s="7" t="inlineStr">
        <is>
          <t>Recovery</t>
        </is>
      </c>
      <c r="K39" s="7" t="inlineStr">
        <is>
          <t>Nacogdoches</t>
        </is>
      </c>
      <c r="L39" s="7" t="inlineStr">
        <is>
          <t>TX</t>
        </is>
      </c>
      <c r="M39" s="7" t="inlineStr">
        <is>
          <t>220 Stallings Drive North Nacogdoches Texas 75965</t>
        </is>
      </c>
      <c r="N39" s="7" t="inlineStr"/>
      <c r="O39" s="7" t="inlineStr">
        <is>
          <t>TX</t>
        </is>
      </c>
      <c r="P39" s="7" t="inlineStr"/>
      <c r="Q39" s="7" t="inlineStr">
        <is>
          <t>Lowes</t>
        </is>
      </c>
      <c r="R39" s="7" t="inlineStr">
        <is>
          <t>403 Century Plaza Drive Houston Texas 77073</t>
        </is>
      </c>
      <c r="S39" s="7" t="n">
        <v>15</v>
      </c>
      <c r="T39" s="7" t="inlineStr"/>
      <c r="U39" s="7" t="n">
        <v>60</v>
      </c>
      <c r="V39" s="7" t="n">
        <v>90</v>
      </c>
      <c r="W39" s="7" t="n">
        <v>90</v>
      </c>
      <c r="X39" s="7" t="n">
        <v>45</v>
      </c>
      <c r="Y39" s="9" t="n">
        <v>0.95</v>
      </c>
      <c r="Z39" s="10">
        <f>SUM(U2:X2)*Y2</f>
        <v/>
      </c>
      <c r="AA39" s="7" t="inlineStr"/>
      <c r="AB39" s="7" t="inlineStr"/>
      <c r="AC39" s="7" t="inlineStr">
        <is>
          <t>06/18/2026 16:39</t>
        </is>
      </c>
      <c r="AD39" s="7" t="inlineStr">
        <is>
          <t>942862.pdf</t>
        </is>
      </c>
    </row>
    <row r="40">
      <c r="A40" s="7" t="inlineStr">
        <is>
          <t>942860</t>
        </is>
      </c>
      <c r="B40" s="7" t="inlineStr">
        <is>
          <t>LO1790</t>
        </is>
      </c>
      <c r="C40" s="8" t="inlineStr">
        <is>
          <t>06/18/2026</t>
        </is>
      </c>
      <c r="D40" s="7" t="inlineStr">
        <is>
          <t>High</t>
        </is>
      </c>
      <c r="E40" s="7" t="inlineStr">
        <is>
          <t>Houston</t>
        </is>
      </c>
      <c r="F40" s="7" t="inlineStr">
        <is>
          <t>Due within 4 days</t>
        </is>
      </c>
      <c r="G40" s="7" t="inlineStr"/>
      <c r="H40" s="7" t="inlineStr">
        <is>
          <t>Houston</t>
        </is>
      </c>
      <c r="I40" s="7" t="inlineStr">
        <is>
          <t>SUHOTXUS</t>
        </is>
      </c>
      <c r="J40" s="7" t="inlineStr">
        <is>
          <t>Recovery</t>
        </is>
      </c>
      <c r="K40" s="7" t="inlineStr">
        <is>
          <t>Livingston</t>
        </is>
      </c>
      <c r="L40" s="7" t="inlineStr">
        <is>
          <t>TX</t>
        </is>
      </c>
      <c r="M40" s="7" t="inlineStr">
        <is>
          <t>120 U.S. 59 Loop South Livingston Texas 77351</t>
        </is>
      </c>
      <c r="N40" s="7" t="inlineStr"/>
      <c r="O40" s="7" t="inlineStr">
        <is>
          <t>TX</t>
        </is>
      </c>
      <c r="P40" s="7" t="inlineStr"/>
      <c r="Q40" s="7" t="inlineStr">
        <is>
          <t>Lowes</t>
        </is>
      </c>
      <c r="R40" s="7" t="inlineStr">
        <is>
          <t>403 Century Plaza Drive Houston Texas 77073</t>
        </is>
      </c>
      <c r="S40" s="7" t="n">
        <v>7</v>
      </c>
      <c r="T40" s="7" t="inlineStr"/>
      <c r="U40" s="7" t="n">
        <v>28</v>
      </c>
      <c r="V40" s="7" t="n">
        <v>42</v>
      </c>
      <c r="W40" s="7" t="n">
        <v>42</v>
      </c>
      <c r="X40" s="7" t="n">
        <v>21</v>
      </c>
      <c r="Y40" s="9" t="n">
        <v>0.95</v>
      </c>
      <c r="Z40" s="10">
        <f>SUM(U2:X2)*Y2</f>
        <v/>
      </c>
      <c r="AA40" s="7" t="inlineStr"/>
      <c r="AB40" s="7" t="inlineStr"/>
      <c r="AC40" s="7" t="inlineStr">
        <is>
          <t>06/18/2026 16:39</t>
        </is>
      </c>
      <c r="AD40" s="7" t="inlineStr">
        <is>
          <t>942860.pdf</t>
        </is>
      </c>
    </row>
    <row r="41">
      <c r="A41" s="7" t="inlineStr">
        <is>
          <t>942858</t>
        </is>
      </c>
      <c r="B41" s="7" t="inlineStr">
        <is>
          <t>LO1769</t>
        </is>
      </c>
      <c r="C41" s="8" t="inlineStr">
        <is>
          <t>06/18/2026</t>
        </is>
      </c>
      <c r="D41" s="7" t="inlineStr">
        <is>
          <t>High</t>
        </is>
      </c>
      <c r="E41" s="7" t="inlineStr">
        <is>
          <t>Houston</t>
        </is>
      </c>
      <c r="F41" s="7" t="inlineStr">
        <is>
          <t>Due within 4 days</t>
        </is>
      </c>
      <c r="G41" s="7" t="inlineStr"/>
      <c r="H41" s="7" t="inlineStr">
        <is>
          <t>Houston</t>
        </is>
      </c>
      <c r="I41" s="7" t="inlineStr">
        <is>
          <t>SUHOTXUS</t>
        </is>
      </c>
      <c r="J41" s="7" t="inlineStr">
        <is>
          <t>Recovery</t>
        </is>
      </c>
      <c r="K41" s="7" t="inlineStr">
        <is>
          <t>Jasper</t>
        </is>
      </c>
      <c r="L41" s="7" t="inlineStr">
        <is>
          <t>TX</t>
        </is>
      </c>
      <c r="M41" s="7" t="inlineStr">
        <is>
          <t>900 West Gibson Street Jasper Texas 75951</t>
        </is>
      </c>
      <c r="N41" s="7" t="inlineStr"/>
      <c r="O41" s="7" t="inlineStr">
        <is>
          <t>TX</t>
        </is>
      </c>
      <c r="P41" s="7" t="inlineStr"/>
      <c r="Q41" s="7" t="inlineStr">
        <is>
          <t>Lowes</t>
        </is>
      </c>
      <c r="R41" s="7" t="inlineStr">
        <is>
          <t>403 Century Plaza Drive Houston Texas 77073</t>
        </is>
      </c>
      <c r="S41" s="7" t="n">
        <v>5</v>
      </c>
      <c r="T41" s="7" t="inlineStr"/>
      <c r="U41" s="7" t="n">
        <v>20</v>
      </c>
      <c r="V41" s="7" t="n">
        <v>30</v>
      </c>
      <c r="W41" s="7" t="n">
        <v>30</v>
      </c>
      <c r="X41" s="7" t="n">
        <v>15</v>
      </c>
      <c r="Y41" s="9" t="n">
        <v>0.95</v>
      </c>
      <c r="Z41" s="10">
        <f>SUM(U2:X2)*Y2</f>
        <v/>
      </c>
      <c r="AA41" s="7" t="inlineStr"/>
      <c r="AB41" s="7" t="inlineStr"/>
      <c r="AC41" s="7" t="inlineStr">
        <is>
          <t>06/18/2026 16:39</t>
        </is>
      </c>
      <c r="AD41" s="7" t="inlineStr">
        <is>
          <t>942858.pdf</t>
        </is>
      </c>
    </row>
    <row r="42">
      <c r="A42" s="7" t="inlineStr">
        <is>
          <t>942857</t>
        </is>
      </c>
      <c r="B42" s="7" t="inlineStr">
        <is>
          <t>HD6578</t>
        </is>
      </c>
      <c r="C42" s="8" t="inlineStr">
        <is>
          <t>06/26/2026</t>
        </is>
      </c>
      <c r="D42" s="7" t="inlineStr">
        <is>
          <t>Normal</t>
        </is>
      </c>
      <c r="E42" s="7" t="inlineStr">
        <is>
          <t>Houston</t>
        </is>
      </c>
      <c r="F42" s="7" t="inlineStr">
        <is>
          <t>Need to be assigned</t>
        </is>
      </c>
      <c r="G42" s="7" t="inlineStr"/>
      <c r="H42" s="7" t="inlineStr">
        <is>
          <t>Houston</t>
        </is>
      </c>
      <c r="I42" s="7" t="inlineStr">
        <is>
          <t>SUHOTXUS</t>
        </is>
      </c>
      <c r="J42" s="7" t="inlineStr">
        <is>
          <t>Recovery</t>
        </is>
      </c>
      <c r="K42" s="7" t="inlineStr">
        <is>
          <t>Huntsville</t>
        </is>
      </c>
      <c r="L42" s="7" t="inlineStr">
        <is>
          <t>TX</t>
        </is>
      </c>
      <c r="M42" s="7" t="inlineStr">
        <is>
          <t>215 Interstate 45 North Huntsville Texas 77320</t>
        </is>
      </c>
      <c r="N42" s="7" t="inlineStr"/>
      <c r="O42" s="7" t="inlineStr">
        <is>
          <t>TX</t>
        </is>
      </c>
      <c r="P42" s="7" t="inlineStr"/>
      <c r="Q42" s="7" t="inlineStr">
        <is>
          <t>Home Depot</t>
        </is>
      </c>
      <c r="R42" s="7" t="inlineStr">
        <is>
          <t>403 Century Plaza Drive Houston Texas 77073</t>
        </is>
      </c>
      <c r="S42" s="7" t="n">
        <v>6</v>
      </c>
      <c r="T42" s="7" t="inlineStr"/>
      <c r="U42" s="7" t="n">
        <v>24</v>
      </c>
      <c r="V42" s="7" t="n">
        <v>36</v>
      </c>
      <c r="W42" s="7" t="n">
        <v>36</v>
      </c>
      <c r="X42" s="7" t="n">
        <v>18</v>
      </c>
      <c r="Y42" s="9" t="n">
        <v>0.95</v>
      </c>
      <c r="Z42" s="10">
        <f>SUM(U2:X2)*Y2</f>
        <v/>
      </c>
      <c r="AA42" s="7" t="inlineStr"/>
      <c r="AB42" s="7" t="inlineStr"/>
      <c r="AC42" s="7" t="inlineStr">
        <is>
          <t>06/18/2026 16:39</t>
        </is>
      </c>
      <c r="AD42" s="7" t="inlineStr">
        <is>
          <t>942857.pdf</t>
        </is>
      </c>
    </row>
    <row r="43">
      <c r="A43" s="7" t="inlineStr">
        <is>
          <t>940903</t>
        </is>
      </c>
      <c r="B43" s="7" t="inlineStr">
        <is>
          <t>HARTYTX1</t>
        </is>
      </c>
      <c r="C43" s="8" t="inlineStr">
        <is>
          <t>06/22/2026</t>
        </is>
      </c>
      <c r="D43" s="7" t="inlineStr">
        <is>
          <t>High</t>
        </is>
      </c>
      <c r="E43" s="7" t="inlineStr">
        <is>
          <t>Houston</t>
        </is>
      </c>
      <c r="F43" s="7" t="inlineStr">
        <is>
          <t>Due within 4 days</t>
        </is>
      </c>
      <c r="G43" s="7" t="inlineStr"/>
      <c r="H43" s="7" t="inlineStr">
        <is>
          <t>Houston</t>
        </is>
      </c>
      <c r="I43" s="7" t="inlineStr">
        <is>
          <t>SUHOTXUS</t>
        </is>
      </c>
      <c r="J43" s="7" t="inlineStr">
        <is>
          <t>Recovery</t>
        </is>
      </c>
      <c r="K43" s="7" t="inlineStr">
        <is>
          <t>Tyler</t>
        </is>
      </c>
      <c r="L43" s="7" t="inlineStr">
        <is>
          <t>TX</t>
        </is>
      </c>
      <c r="M43" s="7" t="inlineStr">
        <is>
          <t>10940 County Road 490 Tyler Texas 75706</t>
        </is>
      </c>
      <c r="N43" s="7" t="inlineStr"/>
      <c r="O43" s="7" t="inlineStr">
        <is>
          <t>TX</t>
        </is>
      </c>
      <c r="P43" s="7" t="inlineStr"/>
      <c r="Q43" s="7" t="inlineStr">
        <is>
          <t>Harris Nursery</t>
        </is>
      </c>
      <c r="R43" s="7" t="inlineStr">
        <is>
          <t>403 Century Plaza Drive Houston Texas 77073</t>
        </is>
      </c>
      <c r="S43" s="7" t="n">
        <v>6</v>
      </c>
      <c r="T43" s="7" t="inlineStr"/>
      <c r="U43" s="7" t="n">
        <v>24</v>
      </c>
      <c r="V43" s="7" t="n">
        <v>36</v>
      </c>
      <c r="W43" s="7" t="n">
        <v>36</v>
      </c>
      <c r="X43" s="7" t="n">
        <v>18</v>
      </c>
      <c r="Y43" s="9" t="n">
        <v>0.95</v>
      </c>
      <c r="Z43" s="10">
        <f>SUM(U2:X2)*Y2</f>
        <v/>
      </c>
      <c r="AA43" s="7" t="inlineStr"/>
      <c r="AB43" s="7" t="inlineStr"/>
      <c r="AC43" s="7" t="inlineStr">
        <is>
          <t>06/18/2026 16:39</t>
        </is>
      </c>
      <c r="AD43" s="7" t="inlineStr">
        <is>
          <t>940903.pdf</t>
        </is>
      </c>
    </row>
    <row r="44">
      <c r="A44" s="7" t="inlineStr">
        <is>
          <t>940902</t>
        </is>
      </c>
      <c r="B44" s="7" t="inlineStr">
        <is>
          <t>MVNFOTX</t>
        </is>
      </c>
      <c r="C44" s="8" t="inlineStr">
        <is>
          <t>06/22/2026</t>
        </is>
      </c>
      <c r="D44" s="7" t="inlineStr">
        <is>
          <t>High</t>
        </is>
      </c>
      <c r="E44" s="7" t="inlineStr">
        <is>
          <t>Houston</t>
        </is>
      </c>
      <c r="F44" s="7" t="inlineStr">
        <is>
          <t>Due within 4 days</t>
        </is>
      </c>
      <c r="G44" s="7" t="inlineStr"/>
      <c r="H44" s="7" t="inlineStr">
        <is>
          <t>Houston</t>
        </is>
      </c>
      <c r="I44" s="7" t="inlineStr">
        <is>
          <t>SUHOTXUS</t>
        </is>
      </c>
      <c r="J44" s="7" t="inlineStr">
        <is>
          <t>Recovery</t>
        </is>
      </c>
      <c r="K44" s="7" t="inlineStr">
        <is>
          <t>Forney</t>
        </is>
      </c>
      <c r="L44" s="7" t="inlineStr">
        <is>
          <t>TX</t>
        </is>
      </c>
      <c r="M44" s="7" t="inlineStr">
        <is>
          <t>707 W Broad St Forney Texas 75126</t>
        </is>
      </c>
      <c r="N44" s="7" t="inlineStr"/>
      <c r="O44" s="7" t="inlineStr">
        <is>
          <t>TX</t>
        </is>
      </c>
      <c r="P44" s="7" t="inlineStr"/>
      <c r="Q44" s="7" t="inlineStr">
        <is>
          <t>Moon Valley Nurseries</t>
        </is>
      </c>
      <c r="R44" s="7" t="inlineStr">
        <is>
          <t>403 Century Plaza Drive Houston Texas 77073</t>
        </is>
      </c>
      <c r="S44" s="7" t="n">
        <v>6</v>
      </c>
      <c r="T44" s="7" t="inlineStr"/>
      <c r="U44" s="7" t="n">
        <v>24</v>
      </c>
      <c r="V44" s="7" t="n">
        <v>36</v>
      </c>
      <c r="W44" s="7" t="n">
        <v>36</v>
      </c>
      <c r="X44" s="7" t="n">
        <v>18</v>
      </c>
      <c r="Y44" s="9" t="n">
        <v>0.95</v>
      </c>
      <c r="Z44" s="10">
        <f>SUM(U2:X2)*Y2</f>
        <v/>
      </c>
      <c r="AA44" s="7" t="inlineStr"/>
      <c r="AB44" s="7" t="inlineStr"/>
      <c r="AC44" s="7" t="inlineStr">
        <is>
          <t>06/18/2026 16:39</t>
        </is>
      </c>
      <c r="AD44" s="7" t="inlineStr">
        <is>
          <t>940902.pdf</t>
        </is>
      </c>
    </row>
    <row r="45">
      <c r="A45" s="7" t="inlineStr">
        <is>
          <t>940901</t>
        </is>
      </c>
      <c r="B45" s="7" t="inlineStr">
        <is>
          <t>DLFPITX1</t>
        </is>
      </c>
      <c r="C45" s="8" t="inlineStr">
        <is>
          <t>06/22/2026</t>
        </is>
      </c>
      <c r="D45" s="7" t="inlineStr">
        <is>
          <t>High</t>
        </is>
      </c>
      <c r="E45" s="7" t="inlineStr">
        <is>
          <t>Houston</t>
        </is>
      </c>
      <c r="F45" s="7" t="inlineStr">
        <is>
          <t>Due within 4 days</t>
        </is>
      </c>
      <c r="G45" s="7" t="inlineStr"/>
      <c r="H45" s="7" t="inlineStr">
        <is>
          <t>Houston</t>
        </is>
      </c>
      <c r="I45" s="7" t="inlineStr">
        <is>
          <t>SUHOTXUS</t>
        </is>
      </c>
      <c r="J45" s="7" t="inlineStr">
        <is>
          <t>Recovery</t>
        </is>
      </c>
      <c r="K45" s="7" t="inlineStr">
        <is>
          <t>Pilot Point</t>
        </is>
      </c>
      <c r="L45" s="7" t="inlineStr">
        <is>
          <t>TX</t>
        </is>
      </c>
      <c r="M45" s="7" t="inlineStr">
        <is>
          <t>7876 North U.S. Highway 377 Pilot Point Texas 76258</t>
        </is>
      </c>
      <c r="N45" s="7" t="inlineStr"/>
      <c r="O45" s="7" t="inlineStr">
        <is>
          <t>TX</t>
        </is>
      </c>
      <c r="P45" s="7" t="inlineStr"/>
      <c r="Q45" s="7" t="inlineStr">
        <is>
          <t>D&amp;L Farm &amp; Home</t>
        </is>
      </c>
      <c r="R45" s="7" t="inlineStr">
        <is>
          <t>403 Century Plaza Drive Houston Texas 77073</t>
        </is>
      </c>
      <c r="S45" s="7" t="n">
        <v>6</v>
      </c>
      <c r="T45" s="7" t="inlineStr"/>
      <c r="U45" s="7" t="n">
        <v>24</v>
      </c>
      <c r="V45" s="7" t="n">
        <v>36</v>
      </c>
      <c r="W45" s="7" t="n">
        <v>36</v>
      </c>
      <c r="X45" s="7" t="n">
        <v>18</v>
      </c>
      <c r="Y45" s="9" t="n">
        <v>0.95</v>
      </c>
      <c r="Z45" s="10">
        <f>SUM(U2:X2)*Y2</f>
        <v/>
      </c>
      <c r="AA45" s="7" t="inlineStr"/>
      <c r="AB45" s="7" t="inlineStr"/>
      <c r="AC45" s="7" t="inlineStr">
        <is>
          <t>06/18/2026 16:39</t>
        </is>
      </c>
      <c r="AD45" s="7" t="inlineStr">
        <is>
          <t>940901.pdf</t>
        </is>
      </c>
    </row>
    <row r="46">
      <c r="A46" s="7" t="inlineStr">
        <is>
          <t>940900</t>
        </is>
      </c>
      <c r="B46" s="7" t="inlineStr">
        <is>
          <t>ODEAUTX1</t>
        </is>
      </c>
      <c r="C46" s="8" t="inlineStr">
        <is>
          <t>06/22/2026</t>
        </is>
      </c>
      <c r="D46" s="7" t="inlineStr">
        <is>
          <t>High</t>
        </is>
      </c>
      <c r="E46" s="7" t="inlineStr">
        <is>
          <t>Houston</t>
        </is>
      </c>
      <c r="F46" s="7" t="inlineStr">
        <is>
          <t>In Process</t>
        </is>
      </c>
      <c r="G46" s="7" t="inlineStr"/>
      <c r="H46" s="7" t="inlineStr">
        <is>
          <t>Houston</t>
        </is>
      </c>
      <c r="I46" s="7" t="inlineStr">
        <is>
          <t>SUHOTXUS</t>
        </is>
      </c>
      <c r="J46" s="7" t="inlineStr">
        <is>
          <t>Recovery</t>
        </is>
      </c>
      <c r="K46" s="7" t="inlineStr">
        <is>
          <t>Aubrey</t>
        </is>
      </c>
      <c r="L46" s="7" t="inlineStr">
        <is>
          <t>TX</t>
        </is>
      </c>
      <c r="M46" s="7" t="inlineStr">
        <is>
          <t>4765 US Hwy 377 Aubrey Texas 76227</t>
        </is>
      </c>
      <c r="N46" s="7" t="inlineStr"/>
      <c r="O46" s="7" t="inlineStr">
        <is>
          <t>TX</t>
        </is>
      </c>
      <c r="P46" s="7" t="inlineStr"/>
      <c r="Q46" s="7" t="inlineStr">
        <is>
          <t>O'Dells Nursery</t>
        </is>
      </c>
      <c r="R46" s="7" t="inlineStr">
        <is>
          <t>403 Century Plaza Drive Houston Texas 77073</t>
        </is>
      </c>
      <c r="S46" s="7" t="n">
        <v>6</v>
      </c>
      <c r="T46" s="7" t="inlineStr"/>
      <c r="U46" s="7" t="n">
        <v>24</v>
      </c>
      <c r="V46" s="7" t="n">
        <v>36</v>
      </c>
      <c r="W46" s="7" t="n">
        <v>36</v>
      </c>
      <c r="X46" s="7" t="n">
        <v>18</v>
      </c>
      <c r="Y46" s="9" t="n">
        <v>0.95</v>
      </c>
      <c r="Z46" s="10">
        <f>SUM(U2:X2)*Y2</f>
        <v/>
      </c>
      <c r="AA46" s="7" t="inlineStr"/>
      <c r="AB46" s="7" t="inlineStr"/>
      <c r="AC46" s="7" t="inlineStr">
        <is>
          <t>06/18/2026 16:39</t>
        </is>
      </c>
      <c r="AD46" s="7" t="inlineStr">
        <is>
          <t>940900.pdf</t>
        </is>
      </c>
    </row>
    <row r="47">
      <c r="A47" s="7" t="inlineStr">
        <is>
          <t>940100</t>
        </is>
      </c>
      <c r="B47" s="7" t="inlineStr">
        <is>
          <t>HD6546</t>
        </is>
      </c>
      <c r="C47" s="8" t="inlineStr">
        <is>
          <t>06/15/2026</t>
        </is>
      </c>
      <c r="D47" s="7" t="inlineStr">
        <is>
          <t>High</t>
        </is>
      </c>
      <c r="E47" s="7" t="inlineStr">
        <is>
          <t>Houston</t>
        </is>
      </c>
      <c r="F47" s="7" t="inlineStr">
        <is>
          <t>Overdue</t>
        </is>
      </c>
      <c r="G47" s="7" t="inlineStr"/>
      <c r="H47" s="7" t="inlineStr">
        <is>
          <t>Houston</t>
        </is>
      </c>
      <c r="I47" s="7" t="inlineStr">
        <is>
          <t>SUHOTXUS</t>
        </is>
      </c>
      <c r="J47" s="7" t="inlineStr">
        <is>
          <t>Recovery</t>
        </is>
      </c>
      <c r="K47" s="7" t="inlineStr">
        <is>
          <t>Missouri City</t>
        </is>
      </c>
      <c r="L47" s="7" t="inlineStr">
        <is>
          <t>TX</t>
        </is>
      </c>
      <c r="M47" s="7" t="inlineStr">
        <is>
          <t>5900 Hwy 6 S Missouri City Texas 77459</t>
        </is>
      </c>
      <c r="N47" s="7" t="inlineStr"/>
      <c r="O47" s="7" t="inlineStr">
        <is>
          <t>TX</t>
        </is>
      </c>
      <c r="P47" s="7" t="inlineStr"/>
      <c r="Q47" s="7" t="inlineStr">
        <is>
          <t>Home Depot</t>
        </is>
      </c>
      <c r="R47" s="7" t="inlineStr">
        <is>
          <t>403 Century Plaza Drive Houston Texas 77073</t>
        </is>
      </c>
      <c r="S47" s="7" t="n">
        <v>6</v>
      </c>
      <c r="T47" s="7" t="inlineStr"/>
      <c r="U47" s="7" t="n">
        <v>24</v>
      </c>
      <c r="V47" s="7" t="n">
        <v>36</v>
      </c>
      <c r="W47" s="7" t="n">
        <v>36</v>
      </c>
      <c r="X47" s="7" t="n">
        <v>18</v>
      </c>
      <c r="Y47" s="9" t="n">
        <v>0.95</v>
      </c>
      <c r="Z47" s="10">
        <f>SUM(U2:X2)*Y2</f>
        <v/>
      </c>
      <c r="AA47" s="7" t="inlineStr"/>
      <c r="AB47" s="7" t="inlineStr"/>
      <c r="AC47" s="7" t="inlineStr">
        <is>
          <t>06/18/2026 16:39</t>
        </is>
      </c>
      <c r="AD47" s="7" t="inlineStr">
        <is>
          <t>940100.pdf</t>
        </is>
      </c>
    </row>
    <row r="48">
      <c r="A48" s="7" t="inlineStr">
        <is>
          <t>940099</t>
        </is>
      </c>
      <c r="B48" s="7" t="inlineStr">
        <is>
          <t>HD585</t>
        </is>
      </c>
      <c r="C48" s="8" t="inlineStr">
        <is>
          <t>06/26/2026</t>
        </is>
      </c>
      <c r="D48" s="7" t="inlineStr">
        <is>
          <t>Normal</t>
        </is>
      </c>
      <c r="E48" s="7" t="inlineStr">
        <is>
          <t>Houston</t>
        </is>
      </c>
      <c r="F48" s="7" t="inlineStr">
        <is>
          <t>Need to be assigned</t>
        </is>
      </c>
      <c r="G48" s="7" t="inlineStr"/>
      <c r="H48" s="7" t="inlineStr">
        <is>
          <t>Houston</t>
        </is>
      </c>
      <c r="I48" s="7" t="inlineStr">
        <is>
          <t>SUHOTXUS</t>
        </is>
      </c>
      <c r="J48" s="7" t="inlineStr">
        <is>
          <t>Recovery</t>
        </is>
      </c>
      <c r="K48" s="7" t="inlineStr">
        <is>
          <t>Houston</t>
        </is>
      </c>
      <c r="L48" s="7" t="inlineStr">
        <is>
          <t>TX</t>
        </is>
      </c>
      <c r="M48" s="7" t="inlineStr">
        <is>
          <t>2828 South Texas 6 Houston Texas 77082</t>
        </is>
      </c>
      <c r="N48" s="7" t="inlineStr"/>
      <c r="O48" s="7" t="inlineStr">
        <is>
          <t>TX</t>
        </is>
      </c>
      <c r="P48" s="7" t="inlineStr"/>
      <c r="Q48" s="7" t="inlineStr">
        <is>
          <t>Home Depot</t>
        </is>
      </c>
      <c r="R48" s="7" t="inlineStr">
        <is>
          <t>403 Century Plaza Drive Houston Texas 77073</t>
        </is>
      </c>
      <c r="S48" s="7" t="n">
        <v>6</v>
      </c>
      <c r="T48" s="7" t="inlineStr"/>
      <c r="U48" s="7" t="n">
        <v>24</v>
      </c>
      <c r="V48" s="7" t="n">
        <v>36</v>
      </c>
      <c r="W48" s="7" t="n">
        <v>36</v>
      </c>
      <c r="X48" s="7" t="n">
        <v>18</v>
      </c>
      <c r="Y48" s="9" t="n">
        <v>0.95</v>
      </c>
      <c r="Z48" s="10">
        <f>SUM(U2:X2)*Y2</f>
        <v/>
      </c>
      <c r="AA48" s="7" t="inlineStr"/>
      <c r="AB48" s="7" t="inlineStr"/>
      <c r="AC48" s="7" t="inlineStr">
        <is>
          <t>06/18/2026 16:39</t>
        </is>
      </c>
      <c r="AD48" s="7" t="inlineStr">
        <is>
          <t>940099.pdf</t>
        </is>
      </c>
    </row>
    <row r="49">
      <c r="A49" s="7" t="inlineStr">
        <is>
          <t>939774</t>
        </is>
      </c>
      <c r="B49" s="7" t="inlineStr">
        <is>
          <t>HOMFATX1</t>
        </is>
      </c>
      <c r="C49" s="8" t="inlineStr">
        <is>
          <t>06/22/2026</t>
        </is>
      </c>
      <c r="D49" s="7" t="inlineStr">
        <is>
          <t>High</t>
        </is>
      </c>
      <c r="E49" s="7" t="inlineStr">
        <is>
          <t>Houston</t>
        </is>
      </c>
      <c r="F49" s="7" t="inlineStr">
        <is>
          <t>Due within 4 days</t>
        </is>
      </c>
      <c r="G49" s="7" t="inlineStr"/>
      <c r="H49" s="7" t="inlineStr">
        <is>
          <t>Houston</t>
        </is>
      </c>
      <c r="I49" s="7" t="inlineStr">
        <is>
          <t>SUHOTXUS</t>
        </is>
      </c>
      <c r="J49" s="7" t="inlineStr">
        <is>
          <t>Recovery</t>
        </is>
      </c>
      <c r="K49" s="7" t="inlineStr">
        <is>
          <t>Farmersville</t>
        </is>
      </c>
      <c r="L49" s="7" t="inlineStr">
        <is>
          <t>TX</t>
        </is>
      </c>
      <c r="M49" s="7" t="inlineStr">
        <is>
          <t>2675 West Audie Murphy Parkway Farmersville Texas 75442</t>
        </is>
      </c>
      <c r="N49" s="7" t="inlineStr"/>
      <c r="O49" s="7" t="inlineStr">
        <is>
          <t>TX</t>
        </is>
      </c>
      <c r="P49" s="7" t="inlineStr"/>
      <c r="Q49" s="7" t="inlineStr">
        <is>
          <t>Home Grown Plants Inc</t>
        </is>
      </c>
      <c r="R49" s="7" t="inlineStr">
        <is>
          <t>403 Century Plaza Drive Houston Texas 77073</t>
        </is>
      </c>
      <c r="S49" s="7" t="n">
        <v>7</v>
      </c>
      <c r="T49" s="7" t="inlineStr"/>
      <c r="U49" s="7" t="n">
        <v>28</v>
      </c>
      <c r="V49" s="7" t="n">
        <v>42</v>
      </c>
      <c r="W49" s="7" t="n">
        <v>42</v>
      </c>
      <c r="X49" s="7" t="n">
        <v>21</v>
      </c>
      <c r="Y49" s="9" t="n">
        <v>0.95</v>
      </c>
      <c r="Z49" s="10">
        <f>SUM(U2:X2)*Y2</f>
        <v/>
      </c>
      <c r="AA49" s="7" t="inlineStr"/>
      <c r="AB49" s="7" t="inlineStr"/>
      <c r="AC49" s="7" t="inlineStr">
        <is>
          <t>06/18/2026 16:39</t>
        </is>
      </c>
      <c r="AD49" s="7" t="inlineStr">
        <is>
          <t>939774.pdf</t>
        </is>
      </c>
    </row>
    <row r="50">
      <c r="A50" s="7" t="inlineStr">
        <is>
          <t>939773</t>
        </is>
      </c>
      <c r="B50" s="7" t="inlineStr">
        <is>
          <t>JUSJUTX1</t>
        </is>
      </c>
      <c r="C50" s="8" t="inlineStr">
        <is>
          <t>06/22/2026</t>
        </is>
      </c>
      <c r="D50" s="7" t="inlineStr">
        <is>
          <t>High</t>
        </is>
      </c>
      <c r="E50" s="7" t="inlineStr">
        <is>
          <t>Houston</t>
        </is>
      </c>
      <c r="F50" s="7" t="inlineStr">
        <is>
          <t>Due within 4 days</t>
        </is>
      </c>
      <c r="G50" s="7" t="inlineStr"/>
      <c r="H50" s="7" t="inlineStr">
        <is>
          <t>Houston</t>
        </is>
      </c>
      <c r="I50" s="7" t="inlineStr">
        <is>
          <t>SUHOTXUS</t>
        </is>
      </c>
      <c r="J50" s="7" t="inlineStr">
        <is>
          <t>Recovery</t>
        </is>
      </c>
      <c r="K50" s="7" t="inlineStr">
        <is>
          <t>Justin</t>
        </is>
      </c>
      <c r="L50" s="7" t="inlineStr">
        <is>
          <t>TX</t>
        </is>
      </c>
      <c r="M50" s="7" t="inlineStr">
        <is>
          <t>1429 West 1st Street Justin Texas 76247</t>
        </is>
      </c>
      <c r="N50" s="7" t="inlineStr"/>
      <c r="O50" s="7" t="inlineStr">
        <is>
          <t>TX</t>
        </is>
      </c>
      <c r="P50" s="7" t="inlineStr"/>
      <c r="Q50" s="7" t="inlineStr">
        <is>
          <t>Ace Hardware</t>
        </is>
      </c>
      <c r="R50" s="7" t="inlineStr">
        <is>
          <t>403 Century Plaza Drive Houston Texas 77073</t>
        </is>
      </c>
      <c r="S50" s="7" t="n">
        <v>6</v>
      </c>
      <c r="T50" s="7" t="inlineStr"/>
      <c r="U50" s="7" t="n">
        <v>24</v>
      </c>
      <c r="V50" s="7" t="n">
        <v>36</v>
      </c>
      <c r="W50" s="7" t="n">
        <v>36</v>
      </c>
      <c r="X50" s="7" t="n">
        <v>18</v>
      </c>
      <c r="Y50" s="9" t="n">
        <v>0.95</v>
      </c>
      <c r="Z50" s="10">
        <f>SUM(U2:X2)*Y2</f>
        <v/>
      </c>
      <c r="AA50" s="7" t="inlineStr"/>
      <c r="AB50" s="7" t="inlineStr"/>
      <c r="AC50" s="7" t="inlineStr">
        <is>
          <t>06/18/2026 16:39</t>
        </is>
      </c>
      <c r="AD50" s="7" t="inlineStr">
        <is>
          <t>939773.pdf</t>
        </is>
      </c>
    </row>
    <row r="51">
      <c r="A51" s="7" t="inlineStr">
        <is>
          <t>939772</t>
        </is>
      </c>
      <c r="B51" s="7" t="inlineStr">
        <is>
          <t>MEADETX1</t>
        </is>
      </c>
      <c r="C51" s="8" t="inlineStr">
        <is>
          <t>06/22/2026</t>
        </is>
      </c>
      <c r="D51" s="7" t="inlineStr">
        <is>
          <t>High</t>
        </is>
      </c>
      <c r="E51" s="7" t="inlineStr">
        <is>
          <t>Houston</t>
        </is>
      </c>
      <c r="F51" s="7" t="inlineStr">
        <is>
          <t>In Process</t>
        </is>
      </c>
      <c r="G51" s="7" t="inlineStr"/>
      <c r="H51" s="7" t="inlineStr">
        <is>
          <t>Houston</t>
        </is>
      </c>
      <c r="I51" s="7" t="inlineStr">
        <is>
          <t>SUHOTXUS</t>
        </is>
      </c>
      <c r="J51" s="7" t="inlineStr">
        <is>
          <t>Recovery</t>
        </is>
      </c>
      <c r="K51" s="7" t="inlineStr">
        <is>
          <t>Denton</t>
        </is>
      </c>
      <c r="L51" s="7" t="inlineStr">
        <is>
          <t>TX</t>
        </is>
      </c>
      <c r="M51" s="7" t="inlineStr">
        <is>
          <t>2612 Fort Worth Drive Denton Texas 76205</t>
        </is>
      </c>
      <c r="N51" s="7" t="inlineStr"/>
      <c r="O51" s="7" t="inlineStr">
        <is>
          <t>TX</t>
        </is>
      </c>
      <c r="P51" s="7" t="inlineStr"/>
      <c r="Q51" s="7" t="inlineStr">
        <is>
          <t>Meader's Garden Center</t>
        </is>
      </c>
      <c r="R51" s="7" t="inlineStr">
        <is>
          <t>403 Century Plaza Drive Houston Texas 77073</t>
        </is>
      </c>
      <c r="S51" s="7" t="n">
        <v>7</v>
      </c>
      <c r="T51" s="7" t="inlineStr"/>
      <c r="U51" s="7" t="n">
        <v>28</v>
      </c>
      <c r="V51" s="7" t="n">
        <v>42</v>
      </c>
      <c r="W51" s="7" t="n">
        <v>42</v>
      </c>
      <c r="X51" s="7" t="n">
        <v>21</v>
      </c>
      <c r="Y51" s="9" t="n">
        <v>0.95</v>
      </c>
      <c r="Z51" s="10">
        <f>SUM(U2:X2)*Y2</f>
        <v/>
      </c>
      <c r="AA51" s="7" t="inlineStr"/>
      <c r="AB51" s="7" t="inlineStr"/>
      <c r="AC51" s="7" t="inlineStr">
        <is>
          <t>06/18/2026 16:39</t>
        </is>
      </c>
      <c r="AD51" s="7" t="inlineStr">
        <is>
          <t>939772.pdf</t>
        </is>
      </c>
    </row>
    <row r="52">
      <c r="A52" s="7" t="inlineStr">
        <is>
          <t>939771</t>
        </is>
      </c>
      <c r="B52" s="7" t="inlineStr">
        <is>
          <t>LO2825</t>
        </is>
      </c>
      <c r="C52" s="8" t="inlineStr">
        <is>
          <t>06/22/2026</t>
        </is>
      </c>
      <c r="D52" s="7" t="inlineStr">
        <is>
          <t>High</t>
        </is>
      </c>
      <c r="E52" s="7" t="inlineStr">
        <is>
          <t>Houston</t>
        </is>
      </c>
      <c r="F52" s="7" t="inlineStr">
        <is>
          <t>In Process</t>
        </is>
      </c>
      <c r="G52" s="7" t="inlineStr"/>
      <c r="H52" s="7" t="inlineStr">
        <is>
          <t>Houston</t>
        </is>
      </c>
      <c r="I52" s="7" t="inlineStr">
        <is>
          <t>SUHOTXUS</t>
        </is>
      </c>
      <c r="J52" s="7" t="inlineStr">
        <is>
          <t>Recovery</t>
        </is>
      </c>
      <c r="K52" s="7" t="inlineStr">
        <is>
          <t>Mckinney</t>
        </is>
      </c>
      <c r="L52" s="7" t="inlineStr">
        <is>
          <t>TX</t>
        </is>
      </c>
      <c r="M52" s="7" t="inlineStr">
        <is>
          <t>2055 North Central Expressway McKinney Texas 75070</t>
        </is>
      </c>
      <c r="N52" s="7" t="inlineStr"/>
      <c r="O52" s="7" t="inlineStr">
        <is>
          <t>TX</t>
        </is>
      </c>
      <c r="P52" s="7" t="inlineStr"/>
      <c r="Q52" s="7" t="inlineStr">
        <is>
          <t>Lowes</t>
        </is>
      </c>
      <c r="R52" s="7" t="inlineStr">
        <is>
          <t>403 Century Plaza Drive Houston Texas 77073</t>
        </is>
      </c>
      <c r="S52" s="7" t="n">
        <v>7</v>
      </c>
      <c r="T52" s="7" t="inlineStr"/>
      <c r="U52" s="7" t="n">
        <v>28</v>
      </c>
      <c r="V52" s="7" t="n">
        <v>42</v>
      </c>
      <c r="W52" s="7" t="n">
        <v>42</v>
      </c>
      <c r="X52" s="7" t="n">
        <v>21</v>
      </c>
      <c r="Y52" s="9" t="n">
        <v>0.95</v>
      </c>
      <c r="Z52" s="10">
        <f>SUM(U2:X2)*Y2</f>
        <v/>
      </c>
      <c r="AA52" s="7" t="inlineStr"/>
      <c r="AB52" s="7" t="inlineStr"/>
      <c r="AC52" s="7" t="inlineStr">
        <is>
          <t>06/18/2026 16:39</t>
        </is>
      </c>
      <c r="AD52" s="7" t="inlineStr">
        <is>
          <t>939771.pdf</t>
        </is>
      </c>
    </row>
    <row r="53">
      <c r="A53" s="7" t="inlineStr">
        <is>
          <t>939770</t>
        </is>
      </c>
      <c r="B53" s="7" t="inlineStr">
        <is>
          <t>LO1802</t>
        </is>
      </c>
      <c r="C53" s="8" t="inlineStr">
        <is>
          <t>06/22/2026</t>
        </is>
      </c>
      <c r="D53" s="7" t="inlineStr">
        <is>
          <t>High</t>
        </is>
      </c>
      <c r="E53" s="7" t="inlineStr">
        <is>
          <t>South Carolina</t>
        </is>
      </c>
      <c r="F53" s="7" t="inlineStr">
        <is>
          <t>Due within 4 days</t>
        </is>
      </c>
      <c r="G53" s="7" t="inlineStr"/>
      <c r="H53" s="7" t="inlineStr">
        <is>
          <t>South Carolina</t>
        </is>
      </c>
      <c r="I53" s="7" t="inlineStr">
        <is>
          <t>SUHOTXUS</t>
        </is>
      </c>
      <c r="J53" s="7" t="inlineStr">
        <is>
          <t>Recovery</t>
        </is>
      </c>
      <c r="K53" s="7" t="inlineStr">
        <is>
          <t>Mount Pleasant</t>
        </is>
      </c>
      <c r="L53" s="7" t="inlineStr">
        <is>
          <t>TX</t>
        </is>
      </c>
      <c r="M53" s="7" t="inlineStr">
        <is>
          <t>1220 Lakewood Drive Mount Pleasant Texas 75455</t>
        </is>
      </c>
      <c r="N53" s="7" t="inlineStr"/>
      <c r="O53" s="7" t="inlineStr">
        <is>
          <t>TX</t>
        </is>
      </c>
      <c r="P53" s="7" t="inlineStr"/>
      <c r="Q53" s="7" t="inlineStr">
        <is>
          <t>Lowes</t>
        </is>
      </c>
      <c r="R53" s="7" t="inlineStr">
        <is>
          <t>403 Century Plaza Drive Houston Texas 77073</t>
        </is>
      </c>
      <c r="S53" s="7" t="n">
        <v>7</v>
      </c>
      <c r="T53" s="7" t="inlineStr"/>
      <c r="U53" s="7" t="n">
        <v>28</v>
      </c>
      <c r="V53" s="7" t="n">
        <v>42</v>
      </c>
      <c r="W53" s="7" t="n">
        <v>42</v>
      </c>
      <c r="X53" s="7" t="n">
        <v>420</v>
      </c>
      <c r="Y53" s="9" t="n">
        <v>0.95</v>
      </c>
      <c r="Z53" s="10">
        <f>SUM(U2:X2)*Y2</f>
        <v/>
      </c>
      <c r="AA53" s="7" t="inlineStr"/>
      <c r="AB53" s="7" t="inlineStr"/>
      <c r="AC53" s="7" t="inlineStr">
        <is>
          <t>06/18/2026 16:39</t>
        </is>
      </c>
      <c r="AD53" s="7" t="inlineStr">
        <is>
          <t>939770.pdf</t>
        </is>
      </c>
    </row>
    <row r="54">
      <c r="A54" s="7" t="inlineStr">
        <is>
          <t>939769</t>
        </is>
      </c>
      <c r="B54" s="7" t="inlineStr">
        <is>
          <t>SO226</t>
        </is>
      </c>
      <c r="C54" s="8" t="inlineStr">
        <is>
          <t>06/22/2026</t>
        </is>
      </c>
      <c r="D54" s="7" t="inlineStr">
        <is>
          <t>High</t>
        </is>
      </c>
      <c r="E54" s="7" t="inlineStr">
        <is>
          <t>Houston</t>
        </is>
      </c>
      <c r="F54" s="7" t="inlineStr">
        <is>
          <t>In Process</t>
        </is>
      </c>
      <c r="G54" s="7" t="inlineStr"/>
      <c r="H54" s="7" t="inlineStr">
        <is>
          <t>Houston</t>
        </is>
      </c>
      <c r="I54" s="7" t="inlineStr">
        <is>
          <t>SUHOTXUS</t>
        </is>
      </c>
      <c r="J54" s="7" t="inlineStr">
        <is>
          <t>Recovery</t>
        </is>
      </c>
      <c r="K54" s="7" t="inlineStr">
        <is>
          <t>Prosper</t>
        </is>
      </c>
      <c r="L54" s="7" t="inlineStr">
        <is>
          <t>TX</t>
        </is>
      </c>
      <c r="M54" s="7" t="inlineStr">
        <is>
          <t>544 South Dallas Parkway Prosper Texas 75078</t>
        </is>
      </c>
      <c r="N54" s="7" t="inlineStr"/>
      <c r="O54" s="7" t="inlineStr">
        <is>
          <t>TX</t>
        </is>
      </c>
      <c r="P54" s="7" t="inlineStr"/>
      <c r="Q54" s="7" t="inlineStr">
        <is>
          <t>Site One</t>
        </is>
      </c>
      <c r="R54" s="7" t="inlineStr">
        <is>
          <t>403 Century Plaza Drive Houston Texas 77073</t>
        </is>
      </c>
      <c r="S54" s="7" t="n">
        <v>18</v>
      </c>
      <c r="T54" s="7" t="inlineStr"/>
      <c r="U54" s="7" t="n">
        <v>72</v>
      </c>
      <c r="V54" s="7" t="n">
        <v>108</v>
      </c>
      <c r="W54" s="7" t="n">
        <v>108</v>
      </c>
      <c r="X54" s="7" t="n">
        <v>54</v>
      </c>
      <c r="Y54" s="9" t="n">
        <v>0.95</v>
      </c>
      <c r="Z54" s="10">
        <f>SUM(U2:X2)*Y2</f>
        <v/>
      </c>
      <c r="AA54" s="7" t="inlineStr"/>
      <c r="AB54" s="7" t="inlineStr"/>
      <c r="AC54" s="7" t="inlineStr">
        <is>
          <t>06/18/2026 16:39</t>
        </is>
      </c>
      <c r="AD54" s="7" t="inlineStr">
        <is>
          <t>939769.pdf</t>
        </is>
      </c>
    </row>
    <row r="55">
      <c r="A55" s="7" t="inlineStr">
        <is>
          <t>939575</t>
        </is>
      </c>
      <c r="B55" s="7" t="inlineStr">
        <is>
          <t>HD6860</t>
        </is>
      </c>
      <c r="C55" s="8" t="inlineStr">
        <is>
          <t>06/15/2026</t>
        </is>
      </c>
      <c r="D55" s="7" t="inlineStr">
        <is>
          <t>High</t>
        </is>
      </c>
      <c r="E55" s="7" t="inlineStr">
        <is>
          <t>Houston</t>
        </is>
      </c>
      <c r="F55" s="7" t="inlineStr">
        <is>
          <t>Overdue</t>
        </is>
      </c>
      <c r="G55" s="7" t="inlineStr"/>
      <c r="H55" s="7" t="inlineStr">
        <is>
          <t>Houston</t>
        </is>
      </c>
      <c r="I55" s="7" t="inlineStr">
        <is>
          <t>SUHOTXUS</t>
        </is>
      </c>
      <c r="J55" s="7" t="inlineStr">
        <is>
          <t>Recovery</t>
        </is>
      </c>
      <c r="K55" s="7" t="inlineStr">
        <is>
          <t>Sugar Land</t>
        </is>
      </c>
      <c r="L55" s="7" t="inlineStr">
        <is>
          <t>TX</t>
        </is>
      </c>
      <c r="M55" s="7" t="inlineStr">
        <is>
          <t>10419 Hwy 6 S Sugar Land Texas 77478</t>
        </is>
      </c>
      <c r="N55" s="7" t="inlineStr"/>
      <c r="O55" s="7" t="inlineStr">
        <is>
          <t>TX</t>
        </is>
      </c>
      <c r="P55" s="7" t="inlineStr"/>
      <c r="Q55" s="7" t="inlineStr">
        <is>
          <t>Home Depot</t>
        </is>
      </c>
      <c r="R55" s="7" t="inlineStr">
        <is>
          <t>403 Century Plaza Drive Houston Texas 77073</t>
        </is>
      </c>
      <c r="S55" s="7" t="n">
        <v>7</v>
      </c>
      <c r="T55" s="7" t="inlineStr"/>
      <c r="U55" s="7" t="n">
        <v>28</v>
      </c>
      <c r="V55" s="7" t="n">
        <v>42</v>
      </c>
      <c r="W55" s="7" t="n">
        <v>42</v>
      </c>
      <c r="X55" s="7" t="n">
        <v>21</v>
      </c>
      <c r="Y55" s="9" t="n">
        <v>0.95</v>
      </c>
      <c r="Z55" s="10">
        <f>SUM(U2:X2)*Y2</f>
        <v/>
      </c>
      <c r="AA55" s="7" t="inlineStr"/>
      <c r="AB55" s="7" t="inlineStr"/>
      <c r="AC55" s="7" t="inlineStr">
        <is>
          <t>06/18/2026 16:39</t>
        </is>
      </c>
      <c r="AD55" s="7" t="inlineStr">
        <is>
          <t>939575.pdf</t>
        </is>
      </c>
    </row>
    <row r="56">
      <c r="A56" s="7" t="inlineStr">
        <is>
          <t>939572</t>
        </is>
      </c>
      <c r="B56" s="7" t="inlineStr">
        <is>
          <t>TPSMTTX</t>
        </is>
      </c>
      <c r="C56" s="8" t="inlineStr">
        <is>
          <t>06/15/2026</t>
        </is>
      </c>
      <c r="D56" s="7" t="inlineStr">
        <is>
          <t>High</t>
        </is>
      </c>
      <c r="E56" s="7" t="inlineStr">
        <is>
          <t>Houston</t>
        </is>
      </c>
      <c r="F56" s="7" t="inlineStr">
        <is>
          <t>Overdue</t>
        </is>
      </c>
      <c r="G56" s="7" t="inlineStr"/>
      <c r="H56" s="7" t="inlineStr">
        <is>
          <t>Houston</t>
        </is>
      </c>
      <c r="I56" s="7" t="inlineStr">
        <is>
          <t>SUHOTXUS</t>
        </is>
      </c>
      <c r="J56" s="7" t="inlineStr">
        <is>
          <t>Recovery</t>
        </is>
      </c>
      <c r="K56" s="7" t="inlineStr">
        <is>
          <t>Montgomery</t>
        </is>
      </c>
      <c r="L56" s="7" t="inlineStr">
        <is>
          <t>TX</t>
        </is>
      </c>
      <c r="M56" s="7" t="inlineStr">
        <is>
          <t>3619 Honea Egypt Road Montgomery Texas 77316</t>
        </is>
      </c>
      <c r="N56" s="7" t="inlineStr"/>
      <c r="O56" s="7" t="inlineStr">
        <is>
          <t>TX</t>
        </is>
      </c>
      <c r="P56" s="7" t="inlineStr"/>
      <c r="Q56" s="7" t="inlineStr">
        <is>
          <t>The Plant Spot</t>
        </is>
      </c>
      <c r="R56" s="7" t="inlineStr">
        <is>
          <t>403 Century Plaza Drive Houston Texas 77073</t>
        </is>
      </c>
      <c r="S56" s="7" t="n">
        <v>4</v>
      </c>
      <c r="T56" s="7" t="inlineStr"/>
      <c r="U56" s="7" t="n">
        <v>16</v>
      </c>
      <c r="V56" s="7" t="n">
        <v>24</v>
      </c>
      <c r="W56" s="7" t="n">
        <v>24</v>
      </c>
      <c r="X56" s="7" t="n">
        <v>12</v>
      </c>
      <c r="Y56" s="9" t="n">
        <v>0.95</v>
      </c>
      <c r="Z56" s="10">
        <f>SUM(U2:X2)*Y2</f>
        <v/>
      </c>
      <c r="AA56" s="7" t="inlineStr"/>
      <c r="AB56" s="7" t="inlineStr"/>
      <c r="AC56" s="7" t="inlineStr">
        <is>
          <t>06/18/2026 16:39</t>
        </is>
      </c>
      <c r="AD56" s="7" t="inlineStr">
        <is>
          <t>939572.pdf</t>
        </is>
      </c>
    </row>
    <row r="57">
      <c r="A57" s="7" t="inlineStr">
        <is>
          <t>939571</t>
        </is>
      </c>
      <c r="B57" s="7" t="inlineStr">
        <is>
          <t>HD568</t>
        </is>
      </c>
      <c r="C57" s="8" t="inlineStr">
        <is>
          <t>06/26/2026</t>
        </is>
      </c>
      <c r="D57" s="7" t="inlineStr">
        <is>
          <t>Normal</t>
        </is>
      </c>
      <c r="E57" s="7" t="inlineStr">
        <is>
          <t>Houston</t>
        </is>
      </c>
      <c r="F57" s="7" t="inlineStr">
        <is>
          <t>Need to be assigned</t>
        </is>
      </c>
      <c r="G57" s="7" t="inlineStr"/>
      <c r="H57" s="7" t="inlineStr">
        <is>
          <t>Houston</t>
        </is>
      </c>
      <c r="I57" s="7" t="inlineStr">
        <is>
          <t>SUHOTXUS</t>
        </is>
      </c>
      <c r="J57" s="7" t="inlineStr">
        <is>
          <t>Recovery</t>
        </is>
      </c>
      <c r="K57" s="7" t="inlineStr">
        <is>
          <t>Spring</t>
        </is>
      </c>
      <c r="L57" s="7" t="inlineStr">
        <is>
          <t>TX</t>
        </is>
      </c>
      <c r="M57" s="7" t="inlineStr">
        <is>
          <t>20131 North Interstate 45 Spring Texas 77373</t>
        </is>
      </c>
      <c r="N57" s="7" t="inlineStr"/>
      <c r="O57" s="7" t="inlineStr">
        <is>
          <t>TX</t>
        </is>
      </c>
      <c r="P57" s="7" t="inlineStr"/>
      <c r="Q57" s="7" t="inlineStr">
        <is>
          <t>Home Depot</t>
        </is>
      </c>
      <c r="R57" s="7" t="inlineStr">
        <is>
          <t>403 Century Plaza Drive Houston Texas 77073</t>
        </is>
      </c>
      <c r="S57" s="7" t="n">
        <v>9</v>
      </c>
      <c r="T57" s="7" t="inlineStr"/>
      <c r="U57" s="7" t="n">
        <v>36</v>
      </c>
      <c r="V57" s="7" t="n">
        <v>54</v>
      </c>
      <c r="W57" s="7" t="n">
        <v>54</v>
      </c>
      <c r="X57" s="7" t="n">
        <v>27</v>
      </c>
      <c r="Y57" s="9" t="n">
        <v>0.95</v>
      </c>
      <c r="Z57" s="10">
        <f>SUM(U2:X2)*Y2</f>
        <v/>
      </c>
      <c r="AA57" s="7" t="inlineStr"/>
      <c r="AB57" s="7" t="inlineStr"/>
      <c r="AC57" s="7" t="inlineStr">
        <is>
          <t>06/18/2026 16:39</t>
        </is>
      </c>
      <c r="AD57" s="7" t="inlineStr">
        <is>
          <t>939571.pdf</t>
        </is>
      </c>
    </row>
    <row r="58">
      <c r="A58" s="7" t="inlineStr">
        <is>
          <t>939565</t>
        </is>
      </c>
      <c r="B58" s="7" t="inlineStr">
        <is>
          <t>HD2389</t>
        </is>
      </c>
      <c r="C58" s="8" t="inlineStr">
        <is>
          <t>06/26/2026</t>
        </is>
      </c>
      <c r="D58" s="7" t="inlineStr">
        <is>
          <t>Normal</t>
        </is>
      </c>
      <c r="E58" s="7" t="inlineStr">
        <is>
          <t>Houston</t>
        </is>
      </c>
      <c r="F58" s="7" t="inlineStr">
        <is>
          <t>Need to be assigned</t>
        </is>
      </c>
      <c r="G58" s="7" t="inlineStr"/>
      <c r="H58" s="7" t="inlineStr">
        <is>
          <t>Houston</t>
        </is>
      </c>
      <c r="I58" s="7" t="inlineStr">
        <is>
          <t>SUHOTXUS</t>
        </is>
      </c>
      <c r="J58" s="7" t="inlineStr">
        <is>
          <t>Recovery</t>
        </is>
      </c>
      <c r="K58" s="7" t="inlineStr">
        <is>
          <t>Spring</t>
        </is>
      </c>
      <c r="L58" s="7" t="inlineStr">
        <is>
          <t>TX</t>
        </is>
      </c>
      <c r="M58" s="7" t="inlineStr">
        <is>
          <t>22310 Kuykendahl Road Spring Texas 77379</t>
        </is>
      </c>
      <c r="N58" s="7" t="inlineStr"/>
      <c r="O58" s="7" t="inlineStr">
        <is>
          <t>TX</t>
        </is>
      </c>
      <c r="P58" s="7" t="inlineStr"/>
      <c r="Q58" s="7" t="inlineStr">
        <is>
          <t>Home Depot</t>
        </is>
      </c>
      <c r="R58" s="7" t="inlineStr">
        <is>
          <t>403 Century Plaza Drive Houston Texas 77073</t>
        </is>
      </c>
      <c r="S58" s="7" t="n">
        <v>9</v>
      </c>
      <c r="T58" s="7" t="inlineStr"/>
      <c r="U58" s="7" t="n">
        <v>36</v>
      </c>
      <c r="V58" s="7" t="n">
        <v>54</v>
      </c>
      <c r="W58" s="7" t="n">
        <v>54</v>
      </c>
      <c r="X58" s="7" t="n">
        <v>27</v>
      </c>
      <c r="Y58" s="9" t="n">
        <v>0.95</v>
      </c>
      <c r="Z58" s="10">
        <f>SUM(U2:X2)*Y2</f>
        <v/>
      </c>
      <c r="AA58" s="7" t="inlineStr"/>
      <c r="AB58" s="7" t="inlineStr"/>
      <c r="AC58" s="7" t="inlineStr">
        <is>
          <t>06/18/2026 16:39</t>
        </is>
      </c>
      <c r="AD58" s="7" t="inlineStr">
        <is>
          <t>939565.pdf</t>
        </is>
      </c>
    </row>
    <row r="59">
      <c r="A59" s="7" t="inlineStr">
        <is>
          <t>939563</t>
        </is>
      </c>
      <c r="B59" s="7" t="inlineStr">
        <is>
          <t>HD6828</t>
        </is>
      </c>
      <c r="C59" s="8" t="inlineStr">
        <is>
          <t>06/15/2026</t>
        </is>
      </c>
      <c r="D59" s="7" t="inlineStr">
        <is>
          <t>High</t>
        </is>
      </c>
      <c r="E59" s="7" t="inlineStr">
        <is>
          <t>Houston</t>
        </is>
      </c>
      <c r="F59" s="7" t="inlineStr">
        <is>
          <t>Overdue</t>
        </is>
      </c>
      <c r="G59" s="7" t="inlineStr"/>
      <c r="H59" s="7" t="inlineStr">
        <is>
          <t>Houston</t>
        </is>
      </c>
      <c r="I59" s="7" t="inlineStr">
        <is>
          <t>SUHOTXUS</t>
        </is>
      </c>
      <c r="J59" s="7" t="inlineStr">
        <is>
          <t>Recovery</t>
        </is>
      </c>
      <c r="K59" s="7" t="inlineStr">
        <is>
          <t>Houston</t>
        </is>
      </c>
      <c r="L59" s="7" t="inlineStr">
        <is>
          <t>TX</t>
        </is>
      </c>
      <c r="M59" s="7" t="inlineStr">
        <is>
          <t>4159 Farm to Market 1960 Road West Houston Texas 77068</t>
        </is>
      </c>
      <c r="N59" s="7" t="inlineStr"/>
      <c r="O59" s="7" t="inlineStr">
        <is>
          <t>TX</t>
        </is>
      </c>
      <c r="P59" s="7" t="inlineStr"/>
      <c r="Q59" s="7" t="inlineStr">
        <is>
          <t>Home Depot</t>
        </is>
      </c>
      <c r="R59" s="7" t="inlineStr">
        <is>
          <t>403 Century Plaza Drive Houston Texas 77073</t>
        </is>
      </c>
      <c r="S59" s="7" t="n">
        <v>9</v>
      </c>
      <c r="T59" s="7" t="inlineStr"/>
      <c r="U59" s="7" t="n">
        <v>36</v>
      </c>
      <c r="V59" s="7" t="n">
        <v>54</v>
      </c>
      <c r="W59" s="7" t="n">
        <v>54</v>
      </c>
      <c r="X59" s="7" t="n">
        <v>27</v>
      </c>
      <c r="Y59" s="9" t="n">
        <v>0.95</v>
      </c>
      <c r="Z59" s="10">
        <f>SUM(U2:X2)*Y2</f>
        <v/>
      </c>
      <c r="AA59" s="7" t="inlineStr"/>
      <c r="AB59" s="7" t="inlineStr"/>
      <c r="AC59" s="7" t="inlineStr">
        <is>
          <t>06/18/2026 16:39</t>
        </is>
      </c>
      <c r="AD59" s="7" t="inlineStr">
        <is>
          <t>939563.pdf</t>
        </is>
      </c>
    </row>
    <row r="60">
      <c r="A60" s="7" t="inlineStr">
        <is>
          <t>939562</t>
        </is>
      </c>
      <c r="B60" s="7" t="inlineStr">
        <is>
          <t>HD6819</t>
        </is>
      </c>
      <c r="C60" s="8" t="inlineStr">
        <is>
          <t>06/26/2026</t>
        </is>
      </c>
      <c r="D60" s="7" t="inlineStr">
        <is>
          <t>Normal</t>
        </is>
      </c>
      <c r="E60" s="7" t="inlineStr">
        <is>
          <t>Houston</t>
        </is>
      </c>
      <c r="F60" s="7" t="inlineStr">
        <is>
          <t>Need to be assigned</t>
        </is>
      </c>
      <c r="G60" s="7" t="inlineStr"/>
      <c r="H60" s="7" t="inlineStr">
        <is>
          <t>Houston</t>
        </is>
      </c>
      <c r="I60" s="7" t="inlineStr">
        <is>
          <t>SUHOTXUS</t>
        </is>
      </c>
      <c r="J60" s="7" t="inlineStr">
        <is>
          <t>Recovery</t>
        </is>
      </c>
      <c r="K60" s="7" t="inlineStr">
        <is>
          <t>Magnolia</t>
        </is>
      </c>
      <c r="L60" s="7" t="inlineStr">
        <is>
          <t>TX</t>
        </is>
      </c>
      <c r="M60" s="7" t="inlineStr">
        <is>
          <t>6119 Farm to Market Road 1488 Magnolia Texas 77354</t>
        </is>
      </c>
      <c r="N60" s="7" t="inlineStr"/>
      <c r="O60" s="7" t="inlineStr">
        <is>
          <t>TX</t>
        </is>
      </c>
      <c r="P60" s="7" t="inlineStr"/>
      <c r="Q60" s="7" t="inlineStr">
        <is>
          <t>Home Depot</t>
        </is>
      </c>
      <c r="R60" s="7" t="inlineStr">
        <is>
          <t>403 Century Plaza Drive Houston Texas 77073</t>
        </is>
      </c>
      <c r="S60" s="7" t="n">
        <v>10</v>
      </c>
      <c r="T60" s="7" t="inlineStr"/>
      <c r="U60" s="7" t="n">
        <v>40</v>
      </c>
      <c r="V60" s="7" t="n">
        <v>60</v>
      </c>
      <c r="W60" s="7" t="n">
        <v>60</v>
      </c>
      <c r="X60" s="7" t="n">
        <v>30</v>
      </c>
      <c r="Y60" s="9" t="n">
        <v>0.95</v>
      </c>
      <c r="Z60" s="10">
        <f>SUM(U2:X2)*Y2</f>
        <v/>
      </c>
      <c r="AA60" s="7" t="inlineStr"/>
      <c r="AB60" s="7" t="inlineStr"/>
      <c r="AC60" s="7" t="inlineStr">
        <is>
          <t>06/18/2026 16:39</t>
        </is>
      </c>
      <c r="AD60" s="7" t="inlineStr">
        <is>
          <t>939562.pdf</t>
        </is>
      </c>
    </row>
    <row r="61">
      <c r="A61" s="7" t="inlineStr">
        <is>
          <t>939546</t>
        </is>
      </c>
      <c r="B61" s="7" t="inlineStr">
        <is>
          <t>MVNFTTX</t>
        </is>
      </c>
      <c r="C61" s="8" t="inlineStr">
        <is>
          <t>06/22/2026</t>
        </is>
      </c>
      <c r="D61" s="7" t="inlineStr">
        <is>
          <t>High</t>
        </is>
      </c>
      <c r="E61" s="7" t="inlineStr">
        <is>
          <t>Houston</t>
        </is>
      </c>
      <c r="F61" s="7" t="inlineStr">
        <is>
          <t>Due within 4 days</t>
        </is>
      </c>
      <c r="G61" s="7" t="inlineStr"/>
      <c r="H61" s="7" t="inlineStr">
        <is>
          <t>Houston</t>
        </is>
      </c>
      <c r="I61" s="7" t="inlineStr">
        <is>
          <t>SUHOTXUS</t>
        </is>
      </c>
      <c r="J61" s="7" t="inlineStr">
        <is>
          <t>Recovery</t>
        </is>
      </c>
      <c r="K61" s="7" t="inlineStr">
        <is>
          <t>Ft. Worth</t>
        </is>
      </c>
      <c r="L61" s="7" t="inlineStr">
        <is>
          <t>TX</t>
        </is>
      </c>
      <c r="M61" s="7" t="inlineStr">
        <is>
          <t>7744 Blue Mound Rd Ft. Worth Texas 76131</t>
        </is>
      </c>
      <c r="N61" s="7" t="inlineStr"/>
      <c r="O61" s="7" t="inlineStr">
        <is>
          <t>TX</t>
        </is>
      </c>
      <c r="P61" s="7" t="inlineStr"/>
      <c r="Q61" s="7" t="inlineStr">
        <is>
          <t>Moon Valley Nurseries</t>
        </is>
      </c>
      <c r="R61" s="7" t="inlineStr">
        <is>
          <t>403 Century Plaza Drive Houston Texas 77073</t>
        </is>
      </c>
      <c r="S61" s="7" t="n">
        <v>10</v>
      </c>
      <c r="T61" s="7" t="inlineStr"/>
      <c r="U61" s="7" t="n">
        <v>40</v>
      </c>
      <c r="V61" s="7" t="n">
        <v>60</v>
      </c>
      <c r="W61" s="7" t="n">
        <v>60</v>
      </c>
      <c r="X61" s="7" t="n">
        <v>30</v>
      </c>
      <c r="Y61" s="9" t="n">
        <v>0.95</v>
      </c>
      <c r="Z61" s="10">
        <f>SUM(U2:X2)*Y2</f>
        <v/>
      </c>
      <c r="AA61" s="7" t="inlineStr"/>
      <c r="AB61" s="7" t="inlineStr"/>
      <c r="AC61" s="7" t="inlineStr">
        <is>
          <t>06/18/2026 16:39</t>
        </is>
      </c>
      <c r="AD61" s="7" t="inlineStr">
        <is>
          <t>939546.pdf</t>
        </is>
      </c>
    </row>
    <row r="62">
      <c r="A62" s="7" t="inlineStr">
        <is>
          <t>939015</t>
        </is>
      </c>
      <c r="B62" s="7" t="inlineStr">
        <is>
          <t>LO1052</t>
        </is>
      </c>
      <c r="C62" s="8" t="inlineStr">
        <is>
          <t>06/26/2026</t>
        </is>
      </c>
      <c r="D62" s="7" t="inlineStr">
        <is>
          <t>Normal</t>
        </is>
      </c>
      <c r="E62" s="7" t="inlineStr">
        <is>
          <t>Houston</t>
        </is>
      </c>
      <c r="F62" s="7" t="inlineStr">
        <is>
          <t>Need to be assigned</t>
        </is>
      </c>
      <c r="G62" s="7" t="inlineStr"/>
      <c r="H62" s="7" t="inlineStr">
        <is>
          <t>Houston</t>
        </is>
      </c>
      <c r="I62" s="7" t="inlineStr">
        <is>
          <t>SUHOTXUS</t>
        </is>
      </c>
      <c r="J62" s="7" t="inlineStr">
        <is>
          <t>Recovery</t>
        </is>
      </c>
      <c r="K62" s="7" t="inlineStr">
        <is>
          <t>Tomball</t>
        </is>
      </c>
      <c r="L62" s="7" t="inlineStr">
        <is>
          <t>TX</t>
        </is>
      </c>
      <c r="M62" s="7" t="inlineStr">
        <is>
          <t>14236 Farm to Market 2920 Tomball Texas 77377</t>
        </is>
      </c>
      <c r="N62" s="7" t="inlineStr"/>
      <c r="O62" s="7" t="inlineStr">
        <is>
          <t>TX</t>
        </is>
      </c>
      <c r="P62" s="7" t="inlineStr"/>
      <c r="Q62" s="7" t="inlineStr">
        <is>
          <t>Lowes</t>
        </is>
      </c>
      <c r="R62" s="7" t="inlineStr">
        <is>
          <t>403 Century Plaza Drive Houston Texas 77073</t>
        </is>
      </c>
      <c r="S62" s="7" t="n">
        <v>32</v>
      </c>
      <c r="T62" s="7" t="inlineStr"/>
      <c r="U62" s="7" t="n">
        <v>128</v>
      </c>
      <c r="V62" s="7" t="n">
        <v>192</v>
      </c>
      <c r="W62" s="7" t="n">
        <v>192</v>
      </c>
      <c r="X62" s="7" t="n">
        <v>584</v>
      </c>
      <c r="Y62" s="9" t="n">
        <v>0.95</v>
      </c>
      <c r="Z62" s="10">
        <f>SUM(U2:X2)*Y2</f>
        <v/>
      </c>
      <c r="AA62" s="7" t="inlineStr"/>
      <c r="AB62" s="7" t="inlineStr"/>
      <c r="AC62" s="7" t="inlineStr">
        <is>
          <t>06/18/2026 16:39</t>
        </is>
      </c>
      <c r="AD62" s="7" t="inlineStr">
        <is>
          <t>939015.pdf</t>
        </is>
      </c>
    </row>
    <row r="63">
      <c r="A63" s="7" t="inlineStr">
        <is>
          <t>939013</t>
        </is>
      </c>
      <c r="B63" s="7" t="inlineStr">
        <is>
          <t>RILSPTX1</t>
        </is>
      </c>
      <c r="C63" s="8" t="inlineStr">
        <is>
          <t>06/12/2026</t>
        </is>
      </c>
      <c r="D63" s="7" t="inlineStr">
        <is>
          <t>High</t>
        </is>
      </c>
      <c r="E63" s="7" t="inlineStr">
        <is>
          <t>Houston</t>
        </is>
      </c>
      <c r="F63" s="7" t="inlineStr">
        <is>
          <t>Overdue</t>
        </is>
      </c>
      <c r="G63" s="7" t="inlineStr"/>
      <c r="H63" s="7" t="inlineStr">
        <is>
          <t>Houston</t>
        </is>
      </c>
      <c r="I63" s="7" t="inlineStr">
        <is>
          <t>SUHOTXUS</t>
        </is>
      </c>
      <c r="J63" s="7" t="inlineStr">
        <is>
          <t>Recovery</t>
        </is>
      </c>
      <c r="K63" s="7" t="inlineStr">
        <is>
          <t>Spring</t>
        </is>
      </c>
      <c r="L63" s="7" t="inlineStr">
        <is>
          <t>TX</t>
        </is>
      </c>
      <c r="M63" s="7" t="inlineStr">
        <is>
          <t>21121 North Freeway Service Road Spring Texas 77388</t>
        </is>
      </c>
      <c r="N63" s="7" t="inlineStr"/>
      <c r="O63" s="7" t="inlineStr">
        <is>
          <t>TX</t>
        </is>
      </c>
      <c r="P63" s="7" t="inlineStr"/>
      <c r="Q63" s="7" t="inlineStr">
        <is>
          <t>Riley Fuzzel Farm</t>
        </is>
      </c>
      <c r="R63" s="7" t="inlineStr">
        <is>
          <t>403 Century Plaza Drive Houston Texas 77073</t>
        </is>
      </c>
      <c r="S63" s="7" t="n">
        <v>6</v>
      </c>
      <c r="T63" s="7" t="inlineStr"/>
      <c r="U63" s="7" t="n">
        <v>24</v>
      </c>
      <c r="V63" s="7" t="n">
        <v>36</v>
      </c>
      <c r="W63" s="7" t="n">
        <v>36</v>
      </c>
      <c r="X63" s="7" t="n">
        <v>18</v>
      </c>
      <c r="Y63" s="9" t="n">
        <v>0.95</v>
      </c>
      <c r="Z63" s="10">
        <f>SUM(U2:X2)*Y2</f>
        <v/>
      </c>
      <c r="AA63" s="7" t="inlineStr"/>
      <c r="AB63" s="7" t="inlineStr"/>
      <c r="AC63" s="7" t="inlineStr">
        <is>
          <t>06/18/2026 16:39</t>
        </is>
      </c>
      <c r="AD63" s="7" t="inlineStr">
        <is>
          <t>939013.pdf</t>
        </is>
      </c>
    </row>
    <row r="64">
      <c r="A64" s="7" t="inlineStr">
        <is>
          <t>938928</t>
        </is>
      </c>
      <c r="B64" s="7" t="inlineStr">
        <is>
          <t>SU3218</t>
        </is>
      </c>
      <c r="C64" s="8" t="inlineStr">
        <is>
          <t>06/22/2026</t>
        </is>
      </c>
      <c r="D64" s="7" t="inlineStr">
        <is>
          <t>High</t>
        </is>
      </c>
      <c r="E64" s="7" t="inlineStr">
        <is>
          <t>Houston</t>
        </is>
      </c>
      <c r="F64" s="7" t="inlineStr">
        <is>
          <t>Due within 4 days</t>
        </is>
      </c>
      <c r="G64" s="7" t="inlineStr"/>
      <c r="H64" s="7" t="inlineStr">
        <is>
          <t>Houston</t>
        </is>
      </c>
      <c r="I64" s="7" t="inlineStr">
        <is>
          <t>SUHOTXUS</t>
        </is>
      </c>
      <c r="J64" s="7" t="inlineStr">
        <is>
          <t>Recovery</t>
        </is>
      </c>
      <c r="K64" s="7" t="inlineStr">
        <is>
          <t>Houston</t>
        </is>
      </c>
      <c r="L64" s="7" t="inlineStr">
        <is>
          <t>TX</t>
        </is>
      </c>
      <c r="M64" s="7" t="inlineStr">
        <is>
          <t>2705 West 70th Street Shreveport Louisiana 71108</t>
        </is>
      </c>
      <c r="N64" s="7" t="inlineStr"/>
      <c r="O64" s="7" t="inlineStr">
        <is>
          <t>TX</t>
        </is>
      </c>
      <c r="P64" s="7" t="inlineStr"/>
      <c r="Q64" s="7" t="inlineStr">
        <is>
          <t>Sutherlands</t>
        </is>
      </c>
      <c r="R64" s="7" t="inlineStr">
        <is>
          <t>403 Century Plaza Drive Houston Texas 77073</t>
        </is>
      </c>
      <c r="S64" s="7" t="n">
        <v>10</v>
      </c>
      <c r="T64" s="7" t="inlineStr"/>
      <c r="U64" s="7" t="n">
        <v>40</v>
      </c>
      <c r="V64" s="7" t="n">
        <v>60</v>
      </c>
      <c r="W64" s="7" t="n">
        <v>60</v>
      </c>
      <c r="X64" s="7" t="n">
        <v>30</v>
      </c>
      <c r="Y64" s="9" t="n">
        <v>0.95</v>
      </c>
      <c r="Z64" s="10">
        <f>SUM(U2:X2)*Y2</f>
        <v/>
      </c>
      <c r="AA64" s="7" t="inlineStr"/>
      <c r="AB64" s="7" t="inlineStr"/>
      <c r="AC64" s="7" t="inlineStr">
        <is>
          <t>06/18/2026 16:39</t>
        </is>
      </c>
      <c r="AD64" s="7" t="inlineStr">
        <is>
          <t>938928.pdf</t>
        </is>
      </c>
    </row>
    <row r="65">
      <c r="A65" s="7" t="inlineStr">
        <is>
          <t>938918</t>
        </is>
      </c>
      <c r="B65" s="7" t="inlineStr">
        <is>
          <t>LO2646</t>
        </is>
      </c>
      <c r="C65" s="8" t="inlineStr">
        <is>
          <t>06/22/2026</t>
        </is>
      </c>
      <c r="D65" s="7" t="inlineStr">
        <is>
          <t>High</t>
        </is>
      </c>
      <c r="E65" s="7" t="inlineStr">
        <is>
          <t>Houston</t>
        </is>
      </c>
      <c r="F65" s="7" t="inlineStr">
        <is>
          <t>Due within 4 days</t>
        </is>
      </c>
      <c r="G65" s="7" t="inlineStr"/>
      <c r="H65" s="7" t="inlineStr">
        <is>
          <t>Houston</t>
        </is>
      </c>
      <c r="I65" s="7" t="inlineStr">
        <is>
          <t>SUHOTXUS</t>
        </is>
      </c>
      <c r="J65" s="7" t="inlineStr">
        <is>
          <t>Recovery</t>
        </is>
      </c>
      <c r="K65" s="7" t="inlineStr">
        <is>
          <t>Greenville</t>
        </is>
      </c>
      <c r="L65" s="7" t="inlineStr">
        <is>
          <t>TX</t>
        </is>
      </c>
      <c r="M65" s="7" t="inlineStr">
        <is>
          <t>3122 Interstate 30 West Greenville Texas 75402</t>
        </is>
      </c>
      <c r="N65" s="7" t="inlineStr"/>
      <c r="O65" s="7" t="inlineStr">
        <is>
          <t>TX</t>
        </is>
      </c>
      <c r="P65" s="7" t="inlineStr"/>
      <c r="Q65" s="7" t="inlineStr">
        <is>
          <t>Lowes</t>
        </is>
      </c>
      <c r="R65" s="7" t="inlineStr">
        <is>
          <t>403 Century Plaza Drive Houston Texas 77073</t>
        </is>
      </c>
      <c r="S65" s="7" t="n">
        <v>19</v>
      </c>
      <c r="T65" s="7" t="inlineStr"/>
      <c r="U65" s="7" t="n">
        <v>76</v>
      </c>
      <c r="V65" s="7" t="n">
        <v>114</v>
      </c>
      <c r="W65" s="7" t="n">
        <v>114</v>
      </c>
      <c r="X65" s="7" t="n">
        <v>57</v>
      </c>
      <c r="Y65" s="9" t="n">
        <v>0.95</v>
      </c>
      <c r="Z65" s="10">
        <f>SUM(U2:X2)*Y2</f>
        <v/>
      </c>
      <c r="AA65" s="7" t="inlineStr"/>
      <c r="AB65" s="7" t="inlineStr"/>
      <c r="AC65" s="7" t="inlineStr">
        <is>
          <t>06/18/2026 16:39</t>
        </is>
      </c>
      <c r="AD65" s="7" t="inlineStr">
        <is>
          <t>938918.pdf</t>
        </is>
      </c>
    </row>
    <row r="66">
      <c r="A66" s="7" t="inlineStr">
        <is>
          <t>934751</t>
        </is>
      </c>
      <c r="B66" s="7" t="inlineStr">
        <is>
          <t>THOBETX1</t>
        </is>
      </c>
      <c r="C66" s="8" t="inlineStr">
        <is>
          <t>06/09/2026</t>
        </is>
      </c>
      <c r="D66" s="7" t="inlineStr">
        <is>
          <t>High</t>
        </is>
      </c>
      <c r="E66" s="7" t="inlineStr">
        <is>
          <t>Houston</t>
        </is>
      </c>
      <c r="F66" s="7" t="inlineStr">
        <is>
          <t>Overdue</t>
        </is>
      </c>
      <c r="G66" s="7" t="inlineStr"/>
      <c r="H66" s="7" t="inlineStr">
        <is>
          <t>Houston</t>
        </is>
      </c>
      <c r="I66" s="7" t="inlineStr">
        <is>
          <t>SUHOTXUS</t>
        </is>
      </c>
      <c r="J66" s="7" t="inlineStr">
        <is>
          <t>Recovery</t>
        </is>
      </c>
      <c r="K66" s="7" t="inlineStr">
        <is>
          <t>Bellaire</t>
        </is>
      </c>
      <c r="L66" s="7" t="inlineStr">
        <is>
          <t>TX</t>
        </is>
      </c>
      <c r="M66" s="7" t="inlineStr">
        <is>
          <t>1400 Anderson Street Bellaire Texas 77401</t>
        </is>
      </c>
      <c r="N66" s="7" t="inlineStr"/>
      <c r="O66" s="7" t="inlineStr">
        <is>
          <t>TX</t>
        </is>
      </c>
      <c r="P66" s="7" t="inlineStr"/>
      <c r="Q66" s="7" t="inlineStr">
        <is>
          <t>Thompson &amp; Hanson Inc</t>
        </is>
      </c>
      <c r="R66" s="7" t="inlineStr">
        <is>
          <t>403 Century Plaza Drive Houston Texas 77073</t>
        </is>
      </c>
      <c r="S66" s="7" t="n">
        <v>10</v>
      </c>
      <c r="T66" s="7" t="inlineStr"/>
      <c r="U66" s="7" t="n">
        <v>40</v>
      </c>
      <c r="V66" s="7" t="n">
        <v>60</v>
      </c>
      <c r="W66" s="7" t="n">
        <v>60</v>
      </c>
      <c r="X66" s="7" t="n">
        <v>30</v>
      </c>
      <c r="Y66" s="9" t="n">
        <v>0.95</v>
      </c>
      <c r="Z66" s="10">
        <f>SUM(U2:X2)*Y2</f>
        <v/>
      </c>
      <c r="AA66" s="7" t="inlineStr"/>
      <c r="AB66" s="7" t="inlineStr"/>
      <c r="AC66" s="7" t="inlineStr">
        <is>
          <t>06/18/2026 16:39</t>
        </is>
      </c>
      <c r="AD66" s="7" t="inlineStr">
        <is>
          <t>934751.pdf</t>
        </is>
      </c>
    </row>
    <row r="67">
      <c r="A67" s="7" t="inlineStr">
        <is>
          <t>933479</t>
        </is>
      </c>
      <c r="B67" s="7" t="inlineStr">
        <is>
          <t>THEKETX1</t>
        </is>
      </c>
      <c r="C67" s="8" t="inlineStr">
        <is>
          <t>06/08/2026</t>
        </is>
      </c>
      <c r="D67" s="7" t="inlineStr">
        <is>
          <t>High</t>
        </is>
      </c>
      <c r="E67" s="7" t="inlineStr">
        <is>
          <t>San Antonio</t>
        </is>
      </c>
      <c r="F67" s="7" t="inlineStr">
        <is>
          <t>Overdue</t>
        </is>
      </c>
      <c r="G67" s="7" t="inlineStr"/>
      <c r="H67" s="7" t="inlineStr">
        <is>
          <t>San Antonio</t>
        </is>
      </c>
      <c r="I67" s="7" t="inlineStr">
        <is>
          <t>SUSATXUS</t>
        </is>
      </c>
      <c r="J67" s="7" t="inlineStr">
        <is>
          <t>Recovery</t>
        </is>
      </c>
      <c r="K67" s="7" t="inlineStr">
        <is>
          <t>Kerrville</t>
        </is>
      </c>
      <c r="L67" s="7" t="inlineStr">
        <is>
          <t>TX</t>
        </is>
      </c>
      <c r="M67" s="7" t="inlineStr">
        <is>
          <t>604 Jefferson Street Kerrville Texas 78028</t>
        </is>
      </c>
      <c r="N67" s="7" t="inlineStr"/>
      <c r="O67" s="7" t="inlineStr">
        <is>
          <t>TX</t>
        </is>
      </c>
      <c r="P67" s="7" t="inlineStr"/>
      <c r="Q67" s="7" t="inlineStr">
        <is>
          <t>The Plant Haus</t>
        </is>
      </c>
      <c r="R67" s="7" t="inlineStr">
        <is>
          <t>10536 Sentinel Dr San Antonio Texas</t>
        </is>
      </c>
      <c r="S67" s="7" t="n">
        <v>9</v>
      </c>
      <c r="T67" s="7" t="inlineStr"/>
      <c r="U67" s="7" t="n">
        <v>36</v>
      </c>
      <c r="V67" s="7" t="n">
        <v>54</v>
      </c>
      <c r="W67" s="7" t="n">
        <v>54</v>
      </c>
      <c r="X67" s="7" t="n">
        <v>27</v>
      </c>
      <c r="Y67" s="9" t="n">
        <v>0.95</v>
      </c>
      <c r="Z67" s="10">
        <f>SUM(U2:X2)*Y2</f>
        <v/>
      </c>
      <c r="AA67" s="7" t="inlineStr"/>
      <c r="AB67" s="7" t="inlineStr"/>
      <c r="AC67" s="7" t="inlineStr">
        <is>
          <t>06/18/2026 16:39</t>
        </is>
      </c>
      <c r="AD67" s="7" t="inlineStr">
        <is>
          <t>933479.pdf</t>
        </is>
      </c>
    </row>
    <row r="68">
      <c r="A68" s="7" t="inlineStr">
        <is>
          <t>933338</t>
        </is>
      </c>
      <c r="B68" s="7" t="inlineStr">
        <is>
          <t>SO1022</t>
        </is>
      </c>
      <c r="C68" s="8" t="inlineStr">
        <is>
          <t>06/08/2026</t>
        </is>
      </c>
      <c r="D68" s="7" t="inlineStr">
        <is>
          <t>High</t>
        </is>
      </c>
      <c r="E68" s="7" t="inlineStr">
        <is>
          <t>Houston</t>
        </is>
      </c>
      <c r="F68" s="7" t="inlineStr">
        <is>
          <t>Overdue</t>
        </is>
      </c>
      <c r="G68" s="7" t="inlineStr"/>
      <c r="H68" s="7" t="inlineStr">
        <is>
          <t>Houston</t>
        </is>
      </c>
      <c r="I68" s="7" t="inlineStr">
        <is>
          <t>SUHOTXUS</t>
        </is>
      </c>
      <c r="J68" s="7" t="inlineStr">
        <is>
          <t>Recovery</t>
        </is>
      </c>
      <c r="K68" s="7" t="inlineStr">
        <is>
          <t>Katy</t>
        </is>
      </c>
      <c r="L68" s="7" t="inlineStr">
        <is>
          <t>TX</t>
        </is>
      </c>
      <c r="M68" s="7" t="inlineStr">
        <is>
          <t>27810 Morton Road Katy Texas 77493</t>
        </is>
      </c>
      <c r="N68" s="7" t="inlineStr"/>
      <c r="O68" s="7" t="inlineStr">
        <is>
          <t>TX</t>
        </is>
      </c>
      <c r="P68" s="7" t="inlineStr"/>
      <c r="Q68" s="7" t="inlineStr">
        <is>
          <t>Site One</t>
        </is>
      </c>
      <c r="R68" s="7" t="inlineStr">
        <is>
          <t>403 Century Plaza Drive Houston Texas 77073</t>
        </is>
      </c>
      <c r="S68" s="7" t="n">
        <v>11</v>
      </c>
      <c r="T68" s="7" t="inlineStr"/>
      <c r="U68" s="7" t="n">
        <v>44</v>
      </c>
      <c r="V68" s="7" t="n">
        <v>66</v>
      </c>
      <c r="W68" s="7" t="n">
        <v>66</v>
      </c>
      <c r="X68" s="7" t="n">
        <v>33</v>
      </c>
      <c r="Y68" s="9" t="n">
        <v>0.95</v>
      </c>
      <c r="Z68" s="10">
        <f>SUM(U2:X2)*Y2</f>
        <v/>
      </c>
      <c r="AA68" s="7" t="inlineStr"/>
      <c r="AB68" s="7" t="inlineStr"/>
      <c r="AC68" s="7" t="inlineStr">
        <is>
          <t>06/18/2026 16:39</t>
        </is>
      </c>
      <c r="AD68" s="7" t="inlineStr">
        <is>
          <t>933338.pdf</t>
        </is>
      </c>
    </row>
    <row r="69">
      <c r="A69" s="7" t="inlineStr">
        <is>
          <t>933333</t>
        </is>
      </c>
      <c r="B69" s="7" t="inlineStr">
        <is>
          <t>HD571</t>
        </is>
      </c>
      <c r="C69" s="8" t="inlineStr">
        <is>
          <t>06/08/2026</t>
        </is>
      </c>
      <c r="D69" s="7" t="inlineStr">
        <is>
          <t>High</t>
        </is>
      </c>
      <c r="E69" s="7" t="inlineStr">
        <is>
          <t>Houston</t>
        </is>
      </c>
      <c r="F69" s="7" t="inlineStr">
        <is>
          <t>Overdue</t>
        </is>
      </c>
      <c r="G69" s="7" t="inlineStr"/>
      <c r="H69" s="7" t="inlineStr">
        <is>
          <t>Houston</t>
        </is>
      </c>
      <c r="I69" s="7" t="inlineStr">
        <is>
          <t>SUHOTXUS</t>
        </is>
      </c>
      <c r="J69" s="7" t="inlineStr">
        <is>
          <t>Recovery</t>
        </is>
      </c>
      <c r="K69" s="7" t="inlineStr">
        <is>
          <t>Houston</t>
        </is>
      </c>
      <c r="L69" s="7" t="inlineStr">
        <is>
          <t>TX</t>
        </is>
      </c>
      <c r="M69" s="7" t="inlineStr">
        <is>
          <t>1100 Lumpkin Road Houston Texas 77043</t>
        </is>
      </c>
      <c r="N69" s="7" t="inlineStr"/>
      <c r="O69" s="7" t="inlineStr">
        <is>
          <t>TX</t>
        </is>
      </c>
      <c r="P69" s="7" t="inlineStr"/>
      <c r="Q69" s="7" t="inlineStr">
        <is>
          <t>Home Depot</t>
        </is>
      </c>
      <c r="R69" s="7" t="inlineStr">
        <is>
          <t>403 Century Plaza Drive Houston Texas 77073</t>
        </is>
      </c>
      <c r="S69" s="7" t="n">
        <v>9</v>
      </c>
      <c r="T69" s="7" t="inlineStr"/>
      <c r="U69" s="7" t="n">
        <v>36</v>
      </c>
      <c r="V69" s="7" t="n">
        <v>54</v>
      </c>
      <c r="W69" s="7" t="n">
        <v>54</v>
      </c>
      <c r="X69" s="7" t="n">
        <v>27</v>
      </c>
      <c r="Y69" s="9" t="n">
        <v>0.95</v>
      </c>
      <c r="Z69" s="10">
        <f>SUM(U2:X2)*Y2</f>
        <v/>
      </c>
      <c r="AA69" s="7" t="inlineStr"/>
      <c r="AB69" s="7" t="inlineStr"/>
      <c r="AC69" s="7" t="inlineStr">
        <is>
          <t>06/18/2026 16:39</t>
        </is>
      </c>
      <c r="AD69" s="7" t="inlineStr">
        <is>
          <t>933333.pdf</t>
        </is>
      </c>
    </row>
    <row r="70">
      <c r="A70" s="7" t="inlineStr">
        <is>
          <t>933147</t>
        </is>
      </c>
      <c r="B70" s="7" t="inlineStr">
        <is>
          <t>LO685</t>
        </is>
      </c>
      <c r="C70" s="8" t="inlineStr">
        <is>
          <t>06/08/2026</t>
        </is>
      </c>
      <c r="D70" s="7" t="inlineStr">
        <is>
          <t>High</t>
        </is>
      </c>
      <c r="E70" s="7" t="inlineStr">
        <is>
          <t>Houston</t>
        </is>
      </c>
      <c r="F70" s="7" t="inlineStr">
        <is>
          <t>Overdue</t>
        </is>
      </c>
      <c r="G70" s="7" t="inlineStr"/>
      <c r="H70" s="7" t="inlineStr">
        <is>
          <t>Houston</t>
        </is>
      </c>
      <c r="I70" s="7" t="inlineStr">
        <is>
          <t>SUHOTXUS</t>
        </is>
      </c>
      <c r="J70" s="7" t="inlineStr">
        <is>
          <t>Recovery</t>
        </is>
      </c>
      <c r="K70" s="7" t="inlineStr">
        <is>
          <t>Pearland</t>
        </is>
      </c>
      <c r="L70" s="7" t="inlineStr">
        <is>
          <t>TX</t>
        </is>
      </c>
      <c r="M70" s="7" t="inlineStr">
        <is>
          <t>2741 Broadway Street Pearland Texas 77581</t>
        </is>
      </c>
      <c r="N70" s="7" t="inlineStr"/>
      <c r="O70" s="7" t="inlineStr">
        <is>
          <t>TX</t>
        </is>
      </c>
      <c r="P70" s="7" t="inlineStr"/>
      <c r="Q70" s="7" t="inlineStr">
        <is>
          <t>Lowes</t>
        </is>
      </c>
      <c r="R70" s="7" t="inlineStr">
        <is>
          <t>403 Century Plaza Drive Houston Texas 77073</t>
        </is>
      </c>
      <c r="S70" s="7" t="n">
        <v>8</v>
      </c>
      <c r="T70" s="7" t="inlineStr"/>
      <c r="U70" s="7" t="n">
        <v>32</v>
      </c>
      <c r="V70" s="7" t="n">
        <v>48</v>
      </c>
      <c r="W70" s="7" t="n">
        <v>48</v>
      </c>
      <c r="X70" s="7" t="n">
        <v>24</v>
      </c>
      <c r="Y70" s="9" t="n">
        <v>0.95</v>
      </c>
      <c r="Z70" s="10">
        <f>SUM(U2:X2)*Y2</f>
        <v/>
      </c>
      <c r="AA70" s="7" t="inlineStr"/>
      <c r="AB70" s="7" t="inlineStr"/>
      <c r="AC70" s="7" t="inlineStr">
        <is>
          <t>06/18/2026 16:39</t>
        </is>
      </c>
      <c r="AD70" s="7" t="inlineStr">
        <is>
          <t>933147.pdf</t>
        </is>
      </c>
    </row>
    <row r="71">
      <c r="A71" s="7" t="inlineStr">
        <is>
          <t>932805</t>
        </is>
      </c>
      <c r="B71" s="7" t="inlineStr">
        <is>
          <t>HD6567</t>
        </is>
      </c>
      <c r="C71" s="8" t="inlineStr">
        <is>
          <t>06/08/2026</t>
        </is>
      </c>
      <c r="D71" s="7" t="inlineStr">
        <is>
          <t>High</t>
        </is>
      </c>
      <c r="E71" s="7" t="inlineStr">
        <is>
          <t>Houston</t>
        </is>
      </c>
      <c r="F71" s="7" t="inlineStr">
        <is>
          <t>Overdue</t>
        </is>
      </c>
      <c r="G71" s="7" t="inlineStr"/>
      <c r="H71" s="7" t="inlineStr">
        <is>
          <t>Houston</t>
        </is>
      </c>
      <c r="I71" s="7" t="inlineStr">
        <is>
          <t>SUHOTXUS</t>
        </is>
      </c>
      <c r="J71" s="7" t="inlineStr">
        <is>
          <t>Recovery</t>
        </is>
      </c>
      <c r="K71" s="7" t="inlineStr">
        <is>
          <t>Pearland</t>
        </is>
      </c>
      <c r="L71" s="7" t="inlineStr">
        <is>
          <t>TX</t>
        </is>
      </c>
      <c r="M71" s="7" t="inlineStr">
        <is>
          <t>10111 Broadway Street Pearland Texas 77584</t>
        </is>
      </c>
      <c r="N71" s="7" t="inlineStr"/>
      <c r="O71" s="7" t="inlineStr">
        <is>
          <t>TX</t>
        </is>
      </c>
      <c r="P71" s="7" t="inlineStr"/>
      <c r="Q71" s="7" t="inlineStr">
        <is>
          <t>Home Depot</t>
        </is>
      </c>
      <c r="R71" s="7" t="inlineStr">
        <is>
          <t>403 Century Plaza Drive Houston Texas 77073</t>
        </is>
      </c>
      <c r="S71" s="7" t="n">
        <v>9</v>
      </c>
      <c r="T71" s="7" t="inlineStr"/>
      <c r="U71" s="7" t="n">
        <v>36</v>
      </c>
      <c r="V71" s="7" t="n">
        <v>54</v>
      </c>
      <c r="W71" s="7" t="n">
        <v>54</v>
      </c>
      <c r="X71" s="7" t="n">
        <v>27</v>
      </c>
      <c r="Y71" s="9" t="n">
        <v>0.95</v>
      </c>
      <c r="Z71" s="10">
        <f>SUM(U2:X2)*Y2</f>
        <v/>
      </c>
      <c r="AA71" s="7" t="inlineStr"/>
      <c r="AB71" s="7" t="inlineStr"/>
      <c r="AC71" s="7" t="inlineStr">
        <is>
          <t>06/18/2026 16:39</t>
        </is>
      </c>
      <c r="AD71" s="7" t="inlineStr">
        <is>
          <t>932805.pdf</t>
        </is>
      </c>
    </row>
    <row r="72">
      <c r="A72" s="7" t="inlineStr">
        <is>
          <t>932741</t>
        </is>
      </c>
      <c r="B72" s="7" t="inlineStr">
        <is>
          <t>HD6516</t>
        </is>
      </c>
      <c r="C72" s="8" t="inlineStr">
        <is>
          <t>06/08/2026</t>
        </is>
      </c>
      <c r="D72" s="7" t="inlineStr">
        <is>
          <t>High</t>
        </is>
      </c>
      <c r="E72" s="7" t="inlineStr">
        <is>
          <t>Houston</t>
        </is>
      </c>
      <c r="F72" s="7" t="inlineStr">
        <is>
          <t>Overdue</t>
        </is>
      </c>
      <c r="G72" s="7" t="inlineStr"/>
      <c r="H72" s="7" t="inlineStr">
        <is>
          <t>Houston</t>
        </is>
      </c>
      <c r="I72" s="7" t="inlineStr">
        <is>
          <t>SUHOTXUS</t>
        </is>
      </c>
      <c r="J72" s="7" t="inlineStr">
        <is>
          <t>Recovery</t>
        </is>
      </c>
      <c r="K72" s="7" t="inlineStr">
        <is>
          <t>Shenandoah</t>
        </is>
      </c>
      <c r="L72" s="7" t="inlineStr">
        <is>
          <t>TX</t>
        </is>
      </c>
      <c r="M72" s="7" t="inlineStr">
        <is>
          <t>19103 Interstate 45 Shenandoah Texas 77385</t>
        </is>
      </c>
      <c r="N72" s="7" t="inlineStr"/>
      <c r="O72" s="7" t="inlineStr">
        <is>
          <t>TX</t>
        </is>
      </c>
      <c r="P72" s="7" t="inlineStr"/>
      <c r="Q72" s="7" t="inlineStr">
        <is>
          <t>Home Depot</t>
        </is>
      </c>
      <c r="R72" s="7" t="inlineStr">
        <is>
          <t>403 Century Plaza Drive Houston Texas 77073</t>
        </is>
      </c>
      <c r="S72" s="7" t="n">
        <v>9</v>
      </c>
      <c r="T72" s="7" t="inlineStr"/>
      <c r="U72" s="7" t="n">
        <v>36</v>
      </c>
      <c r="V72" s="7" t="n">
        <v>54</v>
      </c>
      <c r="W72" s="7" t="n">
        <v>54</v>
      </c>
      <c r="X72" s="7" t="n">
        <v>27</v>
      </c>
      <c r="Y72" s="9" t="n">
        <v>0.95</v>
      </c>
      <c r="Z72" s="10">
        <f>SUM(U2:X2)*Y2</f>
        <v/>
      </c>
      <c r="AA72" s="7" t="inlineStr"/>
      <c r="AB72" s="7" t="inlineStr"/>
      <c r="AC72" s="7" t="inlineStr">
        <is>
          <t>06/18/2026 16:39</t>
        </is>
      </c>
      <c r="AD72" s="7" t="inlineStr">
        <is>
          <t>932741.pdf</t>
        </is>
      </c>
    </row>
    <row r="73">
      <c r="A73" s="7" t="inlineStr">
        <is>
          <t>932734</t>
        </is>
      </c>
      <c r="B73" s="7" t="inlineStr">
        <is>
          <t>HD508</t>
        </is>
      </c>
      <c r="C73" s="8" t="inlineStr">
        <is>
          <t>06/08/2026</t>
        </is>
      </c>
      <c r="D73" s="7" t="inlineStr">
        <is>
          <t>High</t>
        </is>
      </c>
      <c r="E73" s="7" t="inlineStr">
        <is>
          <t>Houston</t>
        </is>
      </c>
      <c r="F73" s="7" t="inlineStr">
        <is>
          <t>Overdue</t>
        </is>
      </c>
      <c r="G73" s="7" t="inlineStr"/>
      <c r="H73" s="7" t="inlineStr">
        <is>
          <t>Houston</t>
        </is>
      </c>
      <c r="I73" s="7" t="inlineStr">
        <is>
          <t>SUHOTXUS</t>
        </is>
      </c>
      <c r="J73" s="7" t="inlineStr">
        <is>
          <t>Recovery</t>
        </is>
      </c>
      <c r="K73" s="7" t="inlineStr">
        <is>
          <t>Conroe</t>
        </is>
      </c>
      <c r="L73" s="7" t="inlineStr">
        <is>
          <t>TX</t>
        </is>
      </c>
      <c r="M73" s="7" t="inlineStr">
        <is>
          <t>1341 West Davis Street Conroe Texas 77304</t>
        </is>
      </c>
      <c r="N73" s="7" t="inlineStr"/>
      <c r="O73" s="7" t="inlineStr">
        <is>
          <t>TX</t>
        </is>
      </c>
      <c r="P73" s="7" t="inlineStr"/>
      <c r="Q73" s="7" t="inlineStr">
        <is>
          <t>Home Depot</t>
        </is>
      </c>
      <c r="R73" s="7" t="inlineStr">
        <is>
          <t>403 Century Plaza Drive Houston Texas 77073</t>
        </is>
      </c>
      <c r="S73" s="7" t="n">
        <v>11</v>
      </c>
      <c r="T73" s="7" t="inlineStr"/>
      <c r="U73" s="7" t="n">
        <v>44</v>
      </c>
      <c r="V73" s="7" t="n">
        <v>66</v>
      </c>
      <c r="W73" s="7" t="n">
        <v>66</v>
      </c>
      <c r="X73" s="7" t="n">
        <v>33</v>
      </c>
      <c r="Y73" s="9" t="n">
        <v>0.95</v>
      </c>
      <c r="Z73" s="10">
        <f>SUM(U2:X2)*Y2</f>
        <v/>
      </c>
      <c r="AA73" s="7" t="inlineStr"/>
      <c r="AB73" s="7" t="inlineStr"/>
      <c r="AC73" s="7" t="inlineStr">
        <is>
          <t>06/18/2026 16:39</t>
        </is>
      </c>
      <c r="AD73" s="7" t="inlineStr">
        <is>
          <t>932734.pdf</t>
        </is>
      </c>
    </row>
    <row r="74">
      <c r="A74" s="7" t="inlineStr">
        <is>
          <t>932566</t>
        </is>
      </c>
      <c r="B74" s="7" t="inlineStr">
        <is>
          <t>KATKATX1</t>
        </is>
      </c>
      <c r="C74" s="8" t="inlineStr">
        <is>
          <t>06/08/2026</t>
        </is>
      </c>
      <c r="D74" s="7" t="inlineStr">
        <is>
          <t>High</t>
        </is>
      </c>
      <c r="E74" s="7" t="inlineStr">
        <is>
          <t>Houston</t>
        </is>
      </c>
      <c r="F74" s="7" t="inlineStr">
        <is>
          <t>Overdue</t>
        </is>
      </c>
      <c r="G74" s="7" t="inlineStr"/>
      <c r="H74" s="7" t="inlineStr">
        <is>
          <t>Houston</t>
        </is>
      </c>
      <c r="I74" s="7" t="inlineStr">
        <is>
          <t>SUHOTXUS</t>
        </is>
      </c>
      <c r="J74" s="7" t="inlineStr">
        <is>
          <t>Recovery</t>
        </is>
      </c>
      <c r="K74" s="7" t="inlineStr">
        <is>
          <t>Katy</t>
        </is>
      </c>
      <c r="L74" s="7" t="inlineStr">
        <is>
          <t>TX</t>
        </is>
      </c>
      <c r="M74" s="7" t="inlineStr">
        <is>
          <t>3218 Greenbusch Road Katy Texas 77494</t>
        </is>
      </c>
      <c r="N74" s="7" t="inlineStr"/>
      <c r="O74" s="7" t="inlineStr">
        <is>
          <t>TX</t>
        </is>
      </c>
      <c r="P74" s="7" t="inlineStr"/>
      <c r="Q74" s="7" t="inlineStr">
        <is>
          <t>Katy Garden Center</t>
        </is>
      </c>
      <c r="R74" s="7" t="inlineStr">
        <is>
          <t>403 Century Plaza Drive Houston Texas 77073</t>
        </is>
      </c>
      <c r="S74" s="7" t="n">
        <v>7</v>
      </c>
      <c r="T74" s="7" t="inlineStr"/>
      <c r="U74" s="7" t="n">
        <v>28</v>
      </c>
      <c r="V74" s="7" t="n">
        <v>42</v>
      </c>
      <c r="W74" s="7" t="n">
        <v>42</v>
      </c>
      <c r="X74" s="7" t="n">
        <v>21</v>
      </c>
      <c r="Y74" s="9" t="n">
        <v>0.95</v>
      </c>
      <c r="Z74" s="10">
        <f>SUM(U2:X2)*Y2</f>
        <v/>
      </c>
      <c r="AA74" s="7" t="inlineStr"/>
      <c r="AB74" s="7" t="inlineStr"/>
      <c r="AC74" s="7" t="inlineStr">
        <is>
          <t>06/18/2026 16:39</t>
        </is>
      </c>
      <c r="AD74" s="7" t="inlineStr">
        <is>
          <t>932566.pdf</t>
        </is>
      </c>
    </row>
    <row r="75">
      <c r="A75" s="7" t="inlineStr">
        <is>
          <t>932565</t>
        </is>
      </c>
      <c r="B75" s="7" t="inlineStr">
        <is>
          <t>CA305</t>
        </is>
      </c>
      <c r="C75" s="8" t="inlineStr">
        <is>
          <t>06/08/2026</t>
        </is>
      </c>
      <c r="D75" s="7" t="inlineStr">
        <is>
          <t>High</t>
        </is>
      </c>
      <c r="E75" s="7" t="inlineStr">
        <is>
          <t>Houston</t>
        </is>
      </c>
      <c r="F75" s="7" t="inlineStr">
        <is>
          <t>Overdue</t>
        </is>
      </c>
      <c r="G75" s="7" t="inlineStr"/>
      <c r="H75" s="7" t="inlineStr">
        <is>
          <t>Houston</t>
        </is>
      </c>
      <c r="I75" s="7" t="inlineStr">
        <is>
          <t>SUHOTXUS</t>
        </is>
      </c>
      <c r="J75" s="7" t="inlineStr">
        <is>
          <t>Recovery</t>
        </is>
      </c>
      <c r="K75" s="7" t="inlineStr">
        <is>
          <t>Katy</t>
        </is>
      </c>
      <c r="L75" s="7" t="inlineStr">
        <is>
          <t>TX</t>
        </is>
      </c>
      <c r="M75" s="7" t="inlineStr">
        <is>
          <t>1403 Westborough Drive Katy Texas 77449</t>
        </is>
      </c>
      <c r="N75" s="7" t="inlineStr"/>
      <c r="O75" s="7" t="inlineStr">
        <is>
          <t>TX</t>
        </is>
      </c>
      <c r="P75" s="7" t="inlineStr"/>
      <c r="Q75" s="7" t="inlineStr">
        <is>
          <t>Calloways</t>
        </is>
      </c>
      <c r="R75" s="7" t="inlineStr">
        <is>
          <t>403 Century Plaza Drive Houston Texas 77073</t>
        </is>
      </c>
      <c r="S75" s="7" t="n">
        <v>6</v>
      </c>
      <c r="T75" s="7" t="inlineStr"/>
      <c r="U75" s="7" t="n">
        <v>24</v>
      </c>
      <c r="V75" s="7" t="n">
        <v>36</v>
      </c>
      <c r="W75" s="7" t="n">
        <v>36</v>
      </c>
      <c r="X75" s="7" t="n">
        <v>18</v>
      </c>
      <c r="Y75" s="9" t="n">
        <v>0.95</v>
      </c>
      <c r="Z75" s="10">
        <f>SUM(U2:X2)*Y2</f>
        <v/>
      </c>
      <c r="AA75" s="7" t="inlineStr"/>
      <c r="AB75" s="7" t="inlineStr"/>
      <c r="AC75" s="7" t="inlineStr">
        <is>
          <t>06/18/2026 16:39</t>
        </is>
      </c>
      <c r="AD75" s="7" t="inlineStr">
        <is>
          <t>932565.pdf</t>
        </is>
      </c>
    </row>
    <row r="76">
      <c r="A76" s="7" t="inlineStr">
        <is>
          <t>931316</t>
        </is>
      </c>
      <c r="B76" s="7" t="inlineStr">
        <is>
          <t>NATCOTX</t>
        </is>
      </c>
      <c r="C76" s="8" t="inlineStr">
        <is>
          <t>06/05/2026</t>
        </is>
      </c>
      <c r="D76" s="7" t="inlineStr">
        <is>
          <t>High</t>
        </is>
      </c>
      <c r="E76" s="7" t="inlineStr">
        <is>
          <t>Houston</t>
        </is>
      </c>
      <c r="F76" s="7" t="inlineStr">
        <is>
          <t>Overdue</t>
        </is>
      </c>
      <c r="G76" s="7" t="inlineStr"/>
      <c r="H76" s="7" t="inlineStr">
        <is>
          <t>Houston</t>
        </is>
      </c>
      <c r="I76" s="7" t="inlineStr">
        <is>
          <t>SUHOTXUS</t>
        </is>
      </c>
      <c r="J76" s="7" t="inlineStr">
        <is>
          <t>Recovery</t>
        </is>
      </c>
      <c r="K76" s="7" t="inlineStr">
        <is>
          <t>Conroe</t>
        </is>
      </c>
      <c r="L76" s="7" t="inlineStr">
        <is>
          <t>TX</t>
        </is>
      </c>
      <c r="M76" s="7" t="inlineStr">
        <is>
          <t>101 Sherbrook Circle Conroe Texas 77385</t>
        </is>
      </c>
      <c r="N76" s="7" t="inlineStr"/>
      <c r="O76" s="7" t="inlineStr">
        <is>
          <t>TX</t>
        </is>
      </c>
      <c r="P76" s="7" t="inlineStr"/>
      <c r="Q76" s="7" t="inlineStr">
        <is>
          <t>Natural Way Resources</t>
        </is>
      </c>
      <c r="R76" s="7" t="inlineStr">
        <is>
          <t>403 Century Plaza Drive Houston Texas 77073</t>
        </is>
      </c>
      <c r="S76" s="7" t="n">
        <v>3</v>
      </c>
      <c r="T76" s="7" t="inlineStr"/>
      <c r="U76" s="7" t="n">
        <v>12</v>
      </c>
      <c r="V76" s="7" t="n">
        <v>18</v>
      </c>
      <c r="W76" s="7" t="n">
        <v>18</v>
      </c>
      <c r="X76" s="7" t="n">
        <v>9</v>
      </c>
      <c r="Y76" s="9" t="n">
        <v>0.95</v>
      </c>
      <c r="Z76" s="10">
        <f>SUM(U2:X2)*Y2</f>
        <v/>
      </c>
      <c r="AA76" s="7" t="inlineStr"/>
      <c r="AB76" s="7" t="inlineStr"/>
      <c r="AC76" s="7" t="inlineStr">
        <is>
          <t>06/18/2026 16:39</t>
        </is>
      </c>
      <c r="AD76" s="7" t="inlineStr">
        <is>
          <t>931316.pdf</t>
        </is>
      </c>
    </row>
    <row r="77">
      <c r="A77" s="7" t="inlineStr">
        <is>
          <t>930606</t>
        </is>
      </c>
      <c r="B77" s="7" t="inlineStr">
        <is>
          <t>HD6577</t>
        </is>
      </c>
      <c r="C77" s="8" t="inlineStr">
        <is>
          <t>06/05/2026</t>
        </is>
      </c>
      <c r="D77" s="7" t="inlineStr">
        <is>
          <t>High</t>
        </is>
      </c>
      <c r="E77" s="7" t="inlineStr">
        <is>
          <t>Valley</t>
        </is>
      </c>
      <c r="F77" s="7" t="inlineStr">
        <is>
          <t>Overdue</t>
        </is>
      </c>
      <c r="G77" s="7" t="inlineStr"/>
      <c r="H77" s="7" t="inlineStr">
        <is>
          <t>Valley</t>
        </is>
      </c>
      <c r="I77" s="7" t="inlineStr">
        <is>
          <t>SUSATXUS</t>
        </is>
      </c>
      <c r="J77" s="7" t="inlineStr">
        <is>
          <t>Recovery</t>
        </is>
      </c>
      <c r="K77" s="7" t="inlineStr">
        <is>
          <t>Weslaco</t>
        </is>
      </c>
      <c r="L77" s="7" t="inlineStr">
        <is>
          <t>TX</t>
        </is>
      </c>
      <c r="M77" s="7" t="inlineStr">
        <is>
          <t>1500 West Expressway 83 Weslaco Texas 78599</t>
        </is>
      </c>
      <c r="N77" s="7" t="inlineStr"/>
      <c r="O77" s="7" t="inlineStr">
        <is>
          <t>TX</t>
        </is>
      </c>
      <c r="P77" s="7" t="inlineStr"/>
      <c r="Q77" s="7" t="inlineStr">
        <is>
          <t>Home Depot</t>
        </is>
      </c>
      <c r="R77" s="7" t="inlineStr">
        <is>
          <t>10536 Sentinel Dr San Antonio Texas</t>
        </is>
      </c>
      <c r="S77" s="7" t="n">
        <v>7</v>
      </c>
      <c r="T77" s="7" t="inlineStr"/>
      <c r="U77" s="7" t="n">
        <v>28</v>
      </c>
      <c r="V77" s="7" t="n">
        <v>42</v>
      </c>
      <c r="W77" s="7" t="n">
        <v>42</v>
      </c>
      <c r="X77" s="7" t="n">
        <v>21</v>
      </c>
      <c r="Y77" s="9" t="n">
        <v>0.95</v>
      </c>
      <c r="Z77" s="10">
        <f>SUM(U2:X2)*Y2</f>
        <v/>
      </c>
      <c r="AA77" s="7" t="inlineStr"/>
      <c r="AB77" s="7" t="inlineStr"/>
      <c r="AC77" s="7" t="inlineStr">
        <is>
          <t>06/18/2026 16:39</t>
        </is>
      </c>
      <c r="AD77" s="7" t="inlineStr">
        <is>
          <t>930606.pdf</t>
        </is>
      </c>
    </row>
    <row r="78">
      <c r="A78" s="7" t="inlineStr">
        <is>
          <t>930604</t>
        </is>
      </c>
      <c r="B78" s="7" t="inlineStr">
        <is>
          <t>HD6528</t>
        </is>
      </c>
      <c r="C78" s="8" t="inlineStr">
        <is>
          <t>06/05/2026</t>
        </is>
      </c>
      <c r="D78" s="7" t="inlineStr">
        <is>
          <t>High</t>
        </is>
      </c>
      <c r="E78" s="7" t="inlineStr">
        <is>
          <t>Valley</t>
        </is>
      </c>
      <c r="F78" s="7" t="inlineStr">
        <is>
          <t>Overdue</t>
        </is>
      </c>
      <c r="G78" s="7" t="inlineStr"/>
      <c r="H78" s="7" t="inlineStr">
        <is>
          <t>Valley</t>
        </is>
      </c>
      <c r="I78" s="7" t="inlineStr">
        <is>
          <t>SUSATXUS</t>
        </is>
      </c>
      <c r="J78" s="7" t="inlineStr">
        <is>
          <t>Recovery</t>
        </is>
      </c>
      <c r="K78" s="7" t="inlineStr">
        <is>
          <t>Harlingen</t>
        </is>
      </c>
      <c r="L78" s="7" t="inlineStr">
        <is>
          <t>TX</t>
        </is>
      </c>
      <c r="M78" s="7" t="inlineStr">
        <is>
          <t>4710 South Expressway 83 Harlingen Texas 78552</t>
        </is>
      </c>
      <c r="N78" s="7" t="inlineStr"/>
      <c r="O78" s="7" t="inlineStr">
        <is>
          <t>TX</t>
        </is>
      </c>
      <c r="P78" s="7" t="inlineStr"/>
      <c r="Q78" s="7" t="inlineStr">
        <is>
          <t>Home Depot</t>
        </is>
      </c>
      <c r="R78" s="7" t="inlineStr">
        <is>
          <t>10536 Sentinel Dr San Antonio Texas</t>
        </is>
      </c>
      <c r="S78" s="7" t="n">
        <v>15</v>
      </c>
      <c r="T78" s="7" t="inlineStr"/>
      <c r="U78" s="7" t="n">
        <v>60</v>
      </c>
      <c r="V78" s="7" t="n">
        <v>90</v>
      </c>
      <c r="W78" s="7" t="n">
        <v>90</v>
      </c>
      <c r="X78" s="7" t="n">
        <v>45</v>
      </c>
      <c r="Y78" s="9" t="n">
        <v>0.95</v>
      </c>
      <c r="Z78" s="10">
        <f>SUM(U2:X2)*Y2</f>
        <v/>
      </c>
      <c r="AA78" s="7" t="inlineStr"/>
      <c r="AB78" s="7" t="inlineStr"/>
      <c r="AC78" s="7" t="inlineStr">
        <is>
          <t>06/18/2026 16:39</t>
        </is>
      </c>
      <c r="AD78" s="7" t="inlineStr">
        <is>
          <t>930604.pdf</t>
        </is>
      </c>
    </row>
    <row r="79">
      <c r="A79" s="7" t="inlineStr">
        <is>
          <t>930590</t>
        </is>
      </c>
      <c r="B79" s="7" t="inlineStr">
        <is>
          <t>HD514</t>
        </is>
      </c>
      <c r="C79" s="8" t="inlineStr">
        <is>
          <t>06/05/2026</t>
        </is>
      </c>
      <c r="D79" s="7" t="inlineStr">
        <is>
          <t>High</t>
        </is>
      </c>
      <c r="E79" s="7" t="inlineStr">
        <is>
          <t>San Antonio</t>
        </is>
      </c>
      <c r="F79" s="7" t="inlineStr">
        <is>
          <t>Overdue</t>
        </is>
      </c>
      <c r="G79" s="7" t="inlineStr"/>
      <c r="H79" s="7" t="inlineStr">
        <is>
          <t>San Antonio</t>
        </is>
      </c>
      <c r="I79" s="7" t="inlineStr">
        <is>
          <t>SUSATXUS</t>
        </is>
      </c>
      <c r="J79" s="7" t="inlineStr">
        <is>
          <t>Recovery</t>
        </is>
      </c>
      <c r="K79" s="7" t="inlineStr">
        <is>
          <t>Marble Falls</t>
        </is>
      </c>
      <c r="L79" s="7" t="inlineStr">
        <is>
          <t>TX</t>
        </is>
      </c>
      <c r="M79" s="7" t="inlineStr">
        <is>
          <t>1307 Mormon Mill Road Marble Falls Texas 78654</t>
        </is>
      </c>
      <c r="N79" s="7" t="inlineStr"/>
      <c r="O79" s="7" t="inlineStr">
        <is>
          <t>TX</t>
        </is>
      </c>
      <c r="P79" s="7" t="inlineStr"/>
      <c r="Q79" s="7" t="inlineStr">
        <is>
          <t>Home Depot</t>
        </is>
      </c>
      <c r="R79" s="7" t="inlineStr">
        <is>
          <t>10536 Sentinel Dr San Antonio Texas</t>
        </is>
      </c>
      <c r="S79" s="7" t="n">
        <v>23</v>
      </c>
      <c r="T79" s="7" t="inlineStr"/>
      <c r="U79" s="7" t="n">
        <v>92</v>
      </c>
      <c r="V79" s="7" t="n">
        <v>138</v>
      </c>
      <c r="W79" s="7" t="n">
        <v>138</v>
      </c>
      <c r="X79" s="7" t="n">
        <v>139</v>
      </c>
      <c r="Y79" s="9" t="n">
        <v>0.95</v>
      </c>
      <c r="Z79" s="10">
        <f>SUM(U2:X2)*Y2</f>
        <v/>
      </c>
      <c r="AA79" s="7" t="inlineStr"/>
      <c r="AB79" s="7" t="inlineStr"/>
      <c r="AC79" s="7" t="inlineStr">
        <is>
          <t>06/18/2026 16:39</t>
        </is>
      </c>
      <c r="AD79" s="7" t="inlineStr">
        <is>
          <t>930590.pdf</t>
        </is>
      </c>
    </row>
    <row r="80">
      <c r="A80" s="7" t="inlineStr">
        <is>
          <t>930585</t>
        </is>
      </c>
      <c r="B80" s="7" t="inlineStr">
        <is>
          <t>LO95</t>
        </is>
      </c>
      <c r="C80" s="8" t="inlineStr">
        <is>
          <t>06/05/2026</t>
        </is>
      </c>
      <c r="D80" s="7" t="inlineStr">
        <is>
          <t>High</t>
        </is>
      </c>
      <c r="E80" s="7" t="inlineStr">
        <is>
          <t>Houston</t>
        </is>
      </c>
      <c r="F80" s="7" t="inlineStr">
        <is>
          <t>Overdue</t>
        </is>
      </c>
      <c r="G80" s="7" t="inlineStr"/>
      <c r="H80" s="7" t="inlineStr">
        <is>
          <t>Houston</t>
        </is>
      </c>
      <c r="I80" s="7" t="inlineStr">
        <is>
          <t>SUHOTXUS</t>
        </is>
      </c>
      <c r="J80" s="7" t="inlineStr">
        <is>
          <t>Recovery</t>
        </is>
      </c>
      <c r="K80" s="7" t="inlineStr">
        <is>
          <t>Beaumont</t>
        </is>
      </c>
      <c r="L80" s="7" t="inlineStr">
        <is>
          <t>TX</t>
        </is>
      </c>
      <c r="M80" s="7" t="inlineStr">
        <is>
          <t>4120 Dowlen Road NO Beaumont Texas 77706</t>
        </is>
      </c>
      <c r="N80" s="7" t="inlineStr"/>
      <c r="O80" s="7" t="inlineStr">
        <is>
          <t>TX</t>
        </is>
      </c>
      <c r="P80" s="7" t="inlineStr"/>
      <c r="Q80" s="7" t="inlineStr">
        <is>
          <t>Lowes</t>
        </is>
      </c>
      <c r="R80" s="7" t="inlineStr">
        <is>
          <t>403 Century Plaza Drive Houston Texas 77073</t>
        </is>
      </c>
      <c r="S80" s="7" t="n">
        <v>5</v>
      </c>
      <c r="T80" s="7" t="inlineStr"/>
      <c r="U80" s="7" t="n">
        <v>20</v>
      </c>
      <c r="V80" s="7" t="n">
        <v>30</v>
      </c>
      <c r="W80" s="7" t="n">
        <v>30</v>
      </c>
      <c r="X80" s="7" t="n">
        <v>15</v>
      </c>
      <c r="Y80" s="9" t="n">
        <v>0.95</v>
      </c>
      <c r="Z80" s="10">
        <f>SUM(U2:X2)*Y2</f>
        <v/>
      </c>
      <c r="AA80" s="7" t="inlineStr"/>
      <c r="AB80" s="7" t="inlineStr"/>
      <c r="AC80" s="7" t="inlineStr">
        <is>
          <t>06/18/2026 16:39</t>
        </is>
      </c>
      <c r="AD80" s="7" t="inlineStr">
        <is>
          <t>930585.pdf</t>
        </is>
      </c>
    </row>
    <row r="81">
      <c r="A81" s="7" t="inlineStr">
        <is>
          <t>930522</t>
        </is>
      </c>
      <c r="B81" s="7" t="inlineStr">
        <is>
          <t>SHAMATX1</t>
        </is>
      </c>
      <c r="C81" s="8" t="inlineStr">
        <is>
          <t>06/05/2026</t>
        </is>
      </c>
      <c r="D81" s="7" t="inlineStr">
        <is>
          <t>High</t>
        </is>
      </c>
      <c r="E81" s="7" t="inlineStr">
        <is>
          <t>Houston</t>
        </is>
      </c>
      <c r="F81" s="7" t="inlineStr">
        <is>
          <t>Overdue</t>
        </is>
      </c>
      <c r="G81" s="7" t="inlineStr"/>
      <c r="H81" s="7" t="inlineStr">
        <is>
          <t>Houston</t>
        </is>
      </c>
      <c r="I81" s="7" t="inlineStr">
        <is>
          <t>SUHOTXUS</t>
        </is>
      </c>
      <c r="J81" s="7" t="inlineStr">
        <is>
          <t>Recovery</t>
        </is>
      </c>
      <c r="K81" s="7" t="inlineStr">
        <is>
          <t>Magnolia</t>
        </is>
      </c>
      <c r="L81" s="7" t="inlineStr">
        <is>
          <t>TX</t>
        </is>
      </c>
      <c r="M81" s="7" t="inlineStr">
        <is>
          <t>5145 Farm to Market Road 1488 Magnolia Texas 77354</t>
        </is>
      </c>
      <c r="N81" s="7" t="inlineStr"/>
      <c r="O81" s="7" t="inlineStr">
        <is>
          <t>TX</t>
        </is>
      </c>
      <c r="P81" s="7" t="inlineStr"/>
      <c r="Q81" s="7" t="inlineStr">
        <is>
          <t>Shades of Texas</t>
        </is>
      </c>
      <c r="R81" s="7" t="inlineStr">
        <is>
          <t>403 Century Plaza Drive Houston Texas 77073</t>
        </is>
      </c>
      <c r="S81" s="7" t="n">
        <v>7</v>
      </c>
      <c r="T81" s="7" t="inlineStr"/>
      <c r="U81" s="7" t="n">
        <v>28</v>
      </c>
      <c r="V81" s="7" t="n">
        <v>42</v>
      </c>
      <c r="W81" s="7" t="n">
        <v>42</v>
      </c>
      <c r="X81" s="7" t="n">
        <v>21</v>
      </c>
      <c r="Y81" s="9" t="n">
        <v>0.95</v>
      </c>
      <c r="Z81" s="10">
        <f>SUM(U2:X2)*Y2</f>
        <v/>
      </c>
      <c r="AA81" s="7" t="inlineStr"/>
      <c r="AB81" s="7" t="inlineStr"/>
      <c r="AC81" s="7" t="inlineStr">
        <is>
          <t>06/18/2026 16:39</t>
        </is>
      </c>
      <c r="AD81" s="7" t="inlineStr">
        <is>
          <t>930522.pdf</t>
        </is>
      </c>
    </row>
    <row r="82">
      <c r="A82" s="7" t="inlineStr">
        <is>
          <t>930512</t>
        </is>
      </c>
      <c r="B82" s="7" t="inlineStr">
        <is>
          <t>KIMHUTX1</t>
        </is>
      </c>
      <c r="C82" s="8" t="inlineStr">
        <is>
          <t>06/05/2026</t>
        </is>
      </c>
      <c r="D82" s="7" t="inlineStr">
        <is>
          <t>High</t>
        </is>
      </c>
      <c r="E82" s="7" t="inlineStr">
        <is>
          <t>Houston</t>
        </is>
      </c>
      <c r="F82" s="7" t="inlineStr">
        <is>
          <t>Overdue</t>
        </is>
      </c>
      <c r="G82" s="7" t="inlineStr"/>
      <c r="H82" s="7" t="inlineStr">
        <is>
          <t>Houston</t>
        </is>
      </c>
      <c r="I82" s="7" t="inlineStr">
        <is>
          <t>SUHOTXUS</t>
        </is>
      </c>
      <c r="J82" s="7" t="inlineStr">
        <is>
          <t>Recovery</t>
        </is>
      </c>
      <c r="K82" s="7" t="inlineStr">
        <is>
          <t>Huntsville</t>
        </is>
      </c>
      <c r="L82" s="7" t="inlineStr">
        <is>
          <t>TX</t>
        </is>
      </c>
      <c r="M82" s="7" t="inlineStr">
        <is>
          <t>2715 Lake Road Huntsville Texas 77340</t>
        </is>
      </c>
      <c r="N82" s="7" t="inlineStr"/>
      <c r="O82" s="7" t="inlineStr">
        <is>
          <t>TX</t>
        </is>
      </c>
      <c r="P82" s="7" t="inlineStr"/>
      <c r="Q82" s="7" t="inlineStr">
        <is>
          <t>Kim's Home and Garden</t>
        </is>
      </c>
      <c r="R82" s="7" t="inlineStr">
        <is>
          <t>403 Century Plaza Drive Houston Texas 77073</t>
        </is>
      </c>
      <c r="S82" s="7" t="n">
        <v>6</v>
      </c>
      <c r="T82" s="7" t="inlineStr"/>
      <c r="U82" s="7" t="n">
        <v>24</v>
      </c>
      <c r="V82" s="7" t="n">
        <v>36</v>
      </c>
      <c r="W82" s="7" t="n">
        <v>36</v>
      </c>
      <c r="X82" s="7" t="n">
        <v>18</v>
      </c>
      <c r="Y82" s="9" t="n">
        <v>0.95</v>
      </c>
      <c r="Z82" s="10">
        <f>SUM(U2:X2)*Y2</f>
        <v/>
      </c>
      <c r="AA82" s="7" t="inlineStr"/>
      <c r="AB82" s="7" t="inlineStr"/>
      <c r="AC82" s="7" t="inlineStr">
        <is>
          <t>06/18/2026 16:39</t>
        </is>
      </c>
      <c r="AD82" s="7" t="inlineStr">
        <is>
          <t>930512.pdf</t>
        </is>
      </c>
    </row>
    <row r="83">
      <c r="A83" s="7" t="inlineStr">
        <is>
          <t>928210</t>
        </is>
      </c>
      <c r="B83" s="7" t="inlineStr">
        <is>
          <t>LO1762</t>
        </is>
      </c>
      <c r="C83" s="8" t="inlineStr">
        <is>
          <t>06/22/2026</t>
        </is>
      </c>
      <c r="D83" s="7" t="inlineStr">
        <is>
          <t>High</t>
        </is>
      </c>
      <c r="E83" s="7" t="inlineStr">
        <is>
          <t>Houston</t>
        </is>
      </c>
      <c r="F83" s="7" t="inlineStr">
        <is>
          <t>Due within 4 days</t>
        </is>
      </c>
      <c r="G83" s="7" t="inlineStr"/>
      <c r="H83" s="7" t="inlineStr">
        <is>
          <t>Houston</t>
        </is>
      </c>
      <c r="I83" s="7" t="inlineStr">
        <is>
          <t>SUHOTXUS</t>
        </is>
      </c>
      <c r="J83" s="7" t="inlineStr">
        <is>
          <t>Recovery</t>
        </is>
      </c>
      <c r="K83" s="7" t="inlineStr">
        <is>
          <t>Marshall</t>
        </is>
      </c>
      <c r="L83" s="7" t="inlineStr">
        <is>
          <t>TX</t>
        </is>
      </c>
      <c r="M83" s="7" t="inlineStr">
        <is>
          <t>910 East End Boulevard North Marshall Texas 75670</t>
        </is>
      </c>
      <c r="N83" s="7" t="inlineStr"/>
      <c r="O83" s="7" t="inlineStr">
        <is>
          <t>TX</t>
        </is>
      </c>
      <c r="P83" s="7" t="inlineStr"/>
      <c r="Q83" s="7" t="inlineStr">
        <is>
          <t>Lowes</t>
        </is>
      </c>
      <c r="R83" s="7" t="inlineStr">
        <is>
          <t>403 Century Plaza Drive Houston Texas 77073</t>
        </is>
      </c>
      <c r="S83" s="7" t="n">
        <v>15</v>
      </c>
      <c r="T83" s="7" t="inlineStr"/>
      <c r="U83" s="7" t="n">
        <v>60</v>
      </c>
      <c r="V83" s="7" t="n">
        <v>90</v>
      </c>
      <c r="W83" s="7" t="n">
        <v>90</v>
      </c>
      <c r="X83" s="7" t="n">
        <v>45</v>
      </c>
      <c r="Y83" s="9" t="n">
        <v>0.95</v>
      </c>
      <c r="Z83" s="10">
        <f>SUM(U2:X2)*Y2</f>
        <v/>
      </c>
      <c r="AA83" s="7" t="inlineStr"/>
      <c r="AB83" s="7" t="inlineStr"/>
      <c r="AC83" s="7" t="inlineStr">
        <is>
          <t>06/18/2026 16:39</t>
        </is>
      </c>
      <c r="AD83" s="7" t="inlineStr">
        <is>
          <t>928210.pdf</t>
        </is>
      </c>
    </row>
    <row r="84">
      <c r="A84" s="7" t="inlineStr">
        <is>
          <t>928208</t>
        </is>
      </c>
      <c r="B84" s="7" t="inlineStr">
        <is>
          <t>LO1810</t>
        </is>
      </c>
      <c r="C84" s="8" t="inlineStr">
        <is>
          <t>06/22/2026</t>
        </is>
      </c>
      <c r="D84" s="7" t="inlineStr">
        <is>
          <t>High</t>
        </is>
      </c>
      <c r="E84" s="7" t="inlineStr">
        <is>
          <t>Houston</t>
        </is>
      </c>
      <c r="F84" s="7" t="inlineStr">
        <is>
          <t>Due within 4 days</t>
        </is>
      </c>
      <c r="G84" s="7" t="inlineStr"/>
      <c r="H84" s="7" t="inlineStr">
        <is>
          <t>Houston</t>
        </is>
      </c>
      <c r="I84" s="7" t="inlineStr">
        <is>
          <t>SUHOTXUS</t>
        </is>
      </c>
      <c r="J84" s="7" t="inlineStr">
        <is>
          <t>Recovery</t>
        </is>
      </c>
      <c r="K84" s="7" t="inlineStr">
        <is>
          <t>Sulphur Springs</t>
        </is>
      </c>
      <c r="L84" s="7" t="inlineStr">
        <is>
          <t>TX</t>
        </is>
      </c>
      <c r="M84" s="7" t="inlineStr">
        <is>
          <t>1711 South Broadway Street Sulphur Springs Texas 75482</t>
        </is>
      </c>
      <c r="N84" s="7" t="inlineStr"/>
      <c r="O84" s="7" t="inlineStr">
        <is>
          <t>TX</t>
        </is>
      </c>
      <c r="P84" s="7" t="inlineStr"/>
      <c r="Q84" s="7" t="inlineStr">
        <is>
          <t>Lowes</t>
        </is>
      </c>
      <c r="R84" s="7" t="inlineStr">
        <is>
          <t>403 Century Plaza Drive Houston Texas 77073</t>
        </is>
      </c>
      <c r="S84" s="7" t="n">
        <v>15</v>
      </c>
      <c r="T84" s="7" t="inlineStr"/>
      <c r="U84" s="7" t="n">
        <v>60</v>
      </c>
      <c r="V84" s="7" t="n">
        <v>90</v>
      </c>
      <c r="W84" s="7" t="n">
        <v>90</v>
      </c>
      <c r="X84" s="7" t="n">
        <v>45</v>
      </c>
      <c r="Y84" s="9" t="n">
        <v>0.95</v>
      </c>
      <c r="Z84" s="10">
        <f>SUM(U2:X2)*Y2</f>
        <v/>
      </c>
      <c r="AA84" s="7" t="inlineStr"/>
      <c r="AB84" s="7" t="inlineStr"/>
      <c r="AC84" s="7" t="inlineStr">
        <is>
          <t>06/18/2026 16:39</t>
        </is>
      </c>
      <c r="AD84" s="7" t="inlineStr">
        <is>
          <t>928208.pdf</t>
        </is>
      </c>
    </row>
    <row r="85">
      <c r="A85" s="7" t="inlineStr">
        <is>
          <t>928207</t>
        </is>
      </c>
      <c r="B85" s="7" t="inlineStr">
        <is>
          <t>GAMETX</t>
        </is>
      </c>
      <c r="C85" s="8" t="inlineStr">
        <is>
          <t>06/22/2026</t>
        </is>
      </c>
      <c r="D85" s="7" t="inlineStr">
        <is>
          <t>High</t>
        </is>
      </c>
      <c r="E85" s="7" t="inlineStr">
        <is>
          <t>Houston</t>
        </is>
      </c>
      <c r="F85" s="7" t="inlineStr">
        <is>
          <t>In Process</t>
        </is>
      </c>
      <c r="G85" s="7" t="inlineStr"/>
      <c r="H85" s="7" t="inlineStr">
        <is>
          <t>Houston</t>
        </is>
      </c>
      <c r="I85" s="7" t="inlineStr">
        <is>
          <t>SUHOTXUS</t>
        </is>
      </c>
      <c r="J85" s="7" t="inlineStr">
        <is>
          <t>Recovery</t>
        </is>
      </c>
      <c r="K85" s="7" t="inlineStr">
        <is>
          <t>Melissa</t>
        </is>
      </c>
      <c r="L85" s="7" t="inlineStr">
        <is>
          <t>TX</t>
        </is>
      </c>
      <c r="M85" s="7" t="inlineStr">
        <is>
          <t>1818 Central Expressway Melissa Texas 75454</t>
        </is>
      </c>
      <c r="N85" s="7" t="inlineStr"/>
      <c r="O85" s="7" t="inlineStr">
        <is>
          <t>TX</t>
        </is>
      </c>
      <c r="P85" s="7" t="inlineStr"/>
      <c r="Q85" s="7" t="inlineStr">
        <is>
          <t>Green Acres Nursery and Supply</t>
        </is>
      </c>
      <c r="R85" s="7" t="inlineStr">
        <is>
          <t>403 Century Plaza Drive Houston Texas 77073</t>
        </is>
      </c>
      <c r="S85" s="7" t="n">
        <v>12</v>
      </c>
      <c r="T85" s="7" t="inlineStr"/>
      <c r="U85" s="7" t="n">
        <v>48</v>
      </c>
      <c r="V85" s="7" t="n">
        <v>72</v>
      </c>
      <c r="W85" s="7" t="n">
        <v>72</v>
      </c>
      <c r="X85" s="7" t="n">
        <v>36</v>
      </c>
      <c r="Y85" s="9" t="n">
        <v>0.95</v>
      </c>
      <c r="Z85" s="10">
        <f>SUM(U2:X2)*Y2</f>
        <v/>
      </c>
      <c r="AA85" s="7" t="inlineStr"/>
      <c r="AB85" s="7" t="inlineStr"/>
      <c r="AC85" s="7" t="inlineStr">
        <is>
          <t>06/18/2026 16:39</t>
        </is>
      </c>
      <c r="AD85" s="7" t="inlineStr">
        <is>
          <t>928207.pdf</t>
        </is>
      </c>
    </row>
    <row r="86">
      <c r="A86" s="7" t="inlineStr">
        <is>
          <t>928206</t>
        </is>
      </c>
      <c r="B86" s="7" t="inlineStr">
        <is>
          <t>OAKLETX1</t>
        </is>
      </c>
      <c r="C86" s="8" t="inlineStr">
        <is>
          <t>06/22/2026</t>
        </is>
      </c>
      <c r="D86" s="7" t="inlineStr">
        <is>
          <t>High</t>
        </is>
      </c>
      <c r="E86" s="7" t="inlineStr">
        <is>
          <t>Houston</t>
        </is>
      </c>
      <c r="F86" s="7" t="inlineStr">
        <is>
          <t>Due within 4 days</t>
        </is>
      </c>
      <c r="G86" s="7" t="inlineStr"/>
      <c r="H86" s="7" t="inlineStr">
        <is>
          <t>Houston</t>
        </is>
      </c>
      <c r="I86" s="7" t="inlineStr">
        <is>
          <t>SUHOTXUS</t>
        </is>
      </c>
      <c r="J86" s="7" t="inlineStr">
        <is>
          <t>Recovery</t>
        </is>
      </c>
      <c r="K86" s="7" t="inlineStr">
        <is>
          <t>Fairview</t>
        </is>
      </c>
      <c r="L86" s="7" t="inlineStr">
        <is>
          <t>TX</t>
        </is>
      </c>
      <c r="M86" s="7" t="inlineStr">
        <is>
          <t>1040 South Texas 5 Fairview Texas 75069</t>
        </is>
      </c>
      <c r="N86" s="7" t="inlineStr"/>
      <c r="O86" s="7" t="inlineStr">
        <is>
          <t>TX</t>
        </is>
      </c>
      <c r="P86" s="7" t="inlineStr"/>
      <c r="Q86" s="7" t="inlineStr">
        <is>
          <t>OakStreet Wholesale Nursery</t>
        </is>
      </c>
      <c r="R86" s="7" t="inlineStr">
        <is>
          <t>403 Century Plaza Drive Houston Texas 77073</t>
        </is>
      </c>
      <c r="S86" s="7" t="n">
        <v>9</v>
      </c>
      <c r="T86" s="7" t="inlineStr"/>
      <c r="U86" s="7" t="n">
        <v>36</v>
      </c>
      <c r="V86" s="7" t="n">
        <v>54</v>
      </c>
      <c r="W86" s="7" t="n">
        <v>54</v>
      </c>
      <c r="X86" s="7" t="n">
        <v>27</v>
      </c>
      <c r="Y86" s="9" t="n">
        <v>0.95</v>
      </c>
      <c r="Z86" s="10">
        <f>SUM(U2:X2)*Y2</f>
        <v/>
      </c>
      <c r="AA86" s="7" t="inlineStr"/>
      <c r="AB86" s="7" t="inlineStr"/>
      <c r="AC86" s="7" t="inlineStr">
        <is>
          <t>06/18/2026 16:39</t>
        </is>
      </c>
      <c r="AD86" s="7" t="inlineStr">
        <is>
          <t>928206.pdf</t>
        </is>
      </c>
    </row>
    <row r="87">
      <c r="A87" s="7" t="inlineStr">
        <is>
          <t>927251</t>
        </is>
      </c>
      <c r="B87" s="7" t="inlineStr">
        <is>
          <t>SUHOTXUS</t>
        </is>
      </c>
      <c r="C87" s="8" t="inlineStr">
        <is>
          <t>06/28/2026</t>
        </is>
      </c>
      <c r="D87" s="7" t="inlineStr">
        <is>
          <t>Normal</t>
        </is>
      </c>
      <c r="E87" s="7" t="inlineStr">
        <is>
          <t>Houston</t>
        </is>
      </c>
      <c r="F87" s="7" t="inlineStr">
        <is>
          <t>Need to be assigned</t>
        </is>
      </c>
      <c r="G87" s="7" t="inlineStr"/>
      <c r="H87" s="7" t="inlineStr">
        <is>
          <t>Houston</t>
        </is>
      </c>
      <c r="I87" s="7" t="inlineStr">
        <is>
          <t>SUHOTXUS</t>
        </is>
      </c>
      <c r="J87" s="7" t="inlineStr">
        <is>
          <t>Recovery</t>
        </is>
      </c>
      <c r="K87" s="7" t="inlineStr">
        <is>
          <t>Houston</t>
        </is>
      </c>
      <c r="L87" s="7" t="inlineStr">
        <is>
          <t>TX</t>
        </is>
      </c>
      <c r="M87" s="7" t="inlineStr"/>
      <c r="N87" s="7" t="inlineStr"/>
      <c r="O87" s="7" t="inlineStr">
        <is>
          <t>TX</t>
        </is>
      </c>
      <c r="P87" s="7" t="inlineStr"/>
      <c r="Q87" s="7" t="inlineStr">
        <is>
          <t>4 US &amp; Company - Houston, TX</t>
        </is>
      </c>
      <c r="R87" s="7" t="inlineStr">
        <is>
          <t>403 Century Plaza Drive Houston Texas 77073</t>
        </is>
      </c>
      <c r="S87" s="7" t="n">
        <v>65</v>
      </c>
      <c r="T87" s="7" t="inlineStr"/>
      <c r="U87" s="7" t="inlineStr"/>
      <c r="V87" s="7" t="inlineStr"/>
      <c r="W87" s="7" t="inlineStr"/>
      <c r="X87" s="7" t="inlineStr"/>
      <c r="Y87" s="9" t="n">
        <v>0.95</v>
      </c>
      <c r="Z87" s="10">
        <f>SUM(U2:X2)*Y2</f>
        <v/>
      </c>
      <c r="AA87" s="7" t="inlineStr">
        <is>
          <t>Origin address missing. Rack count not found on BOL — defaulted to 65. One or more component quantities missing from BOL text.</t>
        </is>
      </c>
      <c r="AB87" s="7" t="inlineStr"/>
      <c r="AC87" s="7" t="inlineStr">
        <is>
          <t>06/18/2026 16:39</t>
        </is>
      </c>
      <c r="AD87" s="7" t="inlineStr">
        <is>
          <t>927251.pdf</t>
        </is>
      </c>
    </row>
    <row r="88">
      <c r="A88" s="7" t="inlineStr">
        <is>
          <t>925347</t>
        </is>
      </c>
      <c r="B88" s="7" t="inlineStr">
        <is>
          <t>LO510</t>
        </is>
      </c>
      <c r="C88" s="8" t="inlineStr">
        <is>
          <t>06/22/2026</t>
        </is>
      </c>
      <c r="D88" s="7" t="inlineStr">
        <is>
          <t>High</t>
        </is>
      </c>
      <c r="E88" s="7" t="inlineStr">
        <is>
          <t>Dallas</t>
        </is>
      </c>
      <c r="F88" s="7" t="inlineStr">
        <is>
          <t>Due within 4 days</t>
        </is>
      </c>
      <c r="G88" s="7" t="inlineStr"/>
      <c r="H88" s="7" t="inlineStr">
        <is>
          <t>Dallas</t>
        </is>
      </c>
      <c r="I88" s="7" t="inlineStr">
        <is>
          <t>SUHOTXUS</t>
        </is>
      </c>
      <c r="J88" s="7" t="inlineStr">
        <is>
          <t>Recovery</t>
        </is>
      </c>
      <c r="K88" s="7" t="inlineStr">
        <is>
          <t>Mesquite</t>
        </is>
      </c>
      <c r="L88" s="7" t="inlineStr">
        <is>
          <t>TX</t>
        </is>
      </c>
      <c r="M88" s="7" t="inlineStr">
        <is>
          <t>4444 North Galloway Avenue Mesquite Texas 75150</t>
        </is>
      </c>
      <c r="N88" s="7" t="inlineStr"/>
      <c r="O88" s="7" t="inlineStr">
        <is>
          <t>TX</t>
        </is>
      </c>
      <c r="P88" s="7" t="inlineStr"/>
      <c r="Q88" s="7" t="inlineStr">
        <is>
          <t>Lowes</t>
        </is>
      </c>
      <c r="R88" s="7" t="inlineStr">
        <is>
          <t>8101 Tristar Drive Suite 112 Irving Texas 75063</t>
        </is>
      </c>
      <c r="S88" s="7" t="n">
        <v>15</v>
      </c>
      <c r="T88" s="7" t="inlineStr"/>
      <c r="U88" s="7" t="n">
        <v>61</v>
      </c>
      <c r="V88" s="7" t="n">
        <v>306</v>
      </c>
      <c r="W88" s="7" t="n">
        <v>41</v>
      </c>
      <c r="X88" s="7" t="n">
        <v>525</v>
      </c>
      <c r="Y88" s="9" t="n">
        <v>0.95</v>
      </c>
      <c r="Z88" s="10">
        <f>SUM(U2:X2)*Y2</f>
        <v/>
      </c>
      <c r="AA88" s="7" t="inlineStr"/>
      <c r="AB88" s="7" t="inlineStr"/>
      <c r="AC88" s="7" t="inlineStr">
        <is>
          <t>06/18/2026 16:39</t>
        </is>
      </c>
      <c r="AD88" s="7" t="inlineStr">
        <is>
          <t>925347.pdf</t>
        </is>
      </c>
    </row>
    <row r="89">
      <c r="A89" s="7" t="inlineStr">
        <is>
          <t>907985</t>
        </is>
      </c>
      <c r="B89" s="7" t="inlineStr">
        <is>
          <t>LO232</t>
        </is>
      </c>
      <c r="C89" s="8" t="inlineStr">
        <is>
          <t>05/20/2026</t>
        </is>
      </c>
      <c r="D89" s="7" t="inlineStr">
        <is>
          <t>High</t>
        </is>
      </c>
      <c r="E89" s="7" t="inlineStr">
        <is>
          <t>Houston</t>
        </is>
      </c>
      <c r="F89" s="7" t="inlineStr">
        <is>
          <t>Overdue</t>
        </is>
      </c>
      <c r="G89" s="7" t="inlineStr"/>
      <c r="H89" s="7" t="inlineStr">
        <is>
          <t>Houston</t>
        </is>
      </c>
      <c r="I89" s="7" t="inlineStr">
        <is>
          <t>SUHOTXUS</t>
        </is>
      </c>
      <c r="J89" s="7" t="inlineStr">
        <is>
          <t>Recovery</t>
        </is>
      </c>
      <c r="K89" s="7" t="inlineStr">
        <is>
          <t>Conroe</t>
        </is>
      </c>
      <c r="L89" s="7" t="inlineStr">
        <is>
          <t>TX</t>
        </is>
      </c>
      <c r="M89" s="7" t="inlineStr">
        <is>
          <t>1920 Westview Boulevard Conroe Texas 77304</t>
        </is>
      </c>
      <c r="N89" s="7" t="inlineStr"/>
      <c r="O89" s="7" t="inlineStr">
        <is>
          <t>TX</t>
        </is>
      </c>
      <c r="P89" s="7" t="inlineStr"/>
      <c r="Q89" s="7" t="inlineStr">
        <is>
          <t>Lowes</t>
        </is>
      </c>
      <c r="R89" s="7" t="inlineStr">
        <is>
          <t>403 Century Plaza Drive Houston Texas 77073</t>
        </is>
      </c>
      <c r="S89" s="7" t="n">
        <v>8</v>
      </c>
      <c r="T89" s="7" t="inlineStr"/>
      <c r="U89" s="7" t="n">
        <v>32</v>
      </c>
      <c r="V89" s="7" t="n">
        <v>48</v>
      </c>
      <c r="W89" s="7" t="n">
        <v>48</v>
      </c>
      <c r="X89" s="7" t="n">
        <v>24</v>
      </c>
      <c r="Y89" s="9" t="n">
        <v>0.95</v>
      </c>
      <c r="Z89" s="10">
        <f>SUM(U2:X2)*Y2</f>
        <v/>
      </c>
      <c r="AA89" s="7" t="inlineStr"/>
      <c r="AB89" s="7" t="inlineStr"/>
      <c r="AC89" s="7" t="inlineStr">
        <is>
          <t>06/18/2026 16:39</t>
        </is>
      </c>
      <c r="AD89" s="7" t="inlineStr">
        <is>
          <t>907985.pdf</t>
        </is>
      </c>
    </row>
    <row r="90">
      <c r="A90" s="7" t="inlineStr">
        <is>
          <t>907163</t>
        </is>
      </c>
      <c r="B90" s="7" t="inlineStr">
        <is>
          <t>CA130</t>
        </is>
      </c>
      <c r="C90" s="8" t="inlineStr">
        <is>
          <t>06/22/2026</t>
        </is>
      </c>
      <c r="D90" s="7" t="inlineStr">
        <is>
          <t>High</t>
        </is>
      </c>
      <c r="E90" s="7" t="inlineStr">
        <is>
          <t>Houston</t>
        </is>
      </c>
      <c r="F90" s="7" t="inlineStr">
        <is>
          <t>Due within 4 days</t>
        </is>
      </c>
      <c r="G90" s="7" t="inlineStr"/>
      <c r="H90" s="7" t="inlineStr">
        <is>
          <t>Houston</t>
        </is>
      </c>
      <c r="I90" s="7" t="inlineStr">
        <is>
          <t>SUHOTXUS</t>
        </is>
      </c>
      <c r="J90" s="7" t="inlineStr">
        <is>
          <t>Recovery</t>
        </is>
      </c>
      <c r="K90" s="7" t="inlineStr">
        <is>
          <t>Mansfield</t>
        </is>
      </c>
      <c r="L90" s="7" t="inlineStr">
        <is>
          <t>TX</t>
        </is>
      </c>
      <c r="M90" s="7" t="inlineStr">
        <is>
          <t>311 East Debbie Lane Mansfield Texas 76063</t>
        </is>
      </c>
      <c r="N90" s="7" t="inlineStr"/>
      <c r="O90" s="7" t="inlineStr">
        <is>
          <t>TX</t>
        </is>
      </c>
      <c r="P90" s="7" t="inlineStr"/>
      <c r="Q90" s="7" t="inlineStr">
        <is>
          <t>Calloways</t>
        </is>
      </c>
      <c r="R90" s="7" t="inlineStr">
        <is>
          <t>403 Century Plaza Drive Houston Texas 77073</t>
        </is>
      </c>
      <c r="S90" s="7" t="n">
        <v>15</v>
      </c>
      <c r="T90" s="7" t="inlineStr"/>
      <c r="U90" s="7" t="n">
        <v>60</v>
      </c>
      <c r="V90" s="7" t="n">
        <v>90</v>
      </c>
      <c r="W90" s="7" t="n">
        <v>90</v>
      </c>
      <c r="X90" s="7" t="n">
        <v>45</v>
      </c>
      <c r="Y90" s="9" t="n">
        <v>0.95</v>
      </c>
      <c r="Z90" s="10">
        <f>SUM(U2:X2)*Y2</f>
        <v/>
      </c>
      <c r="AA90" s="7" t="inlineStr"/>
      <c r="AB90" s="7" t="inlineStr"/>
      <c r="AC90" s="7" t="inlineStr">
        <is>
          <t>06/18/2026 16:39</t>
        </is>
      </c>
      <c r="AD90" s="7" t="inlineStr">
        <is>
          <t>907163.pdf</t>
        </is>
      </c>
    </row>
    <row r="91">
      <c r="A91" s="7" t="inlineStr">
        <is>
          <t>907156</t>
        </is>
      </c>
      <c r="B91" s="7" t="inlineStr">
        <is>
          <t>LO463</t>
        </is>
      </c>
      <c r="C91" s="8" t="inlineStr">
        <is>
          <t>06/22/2026</t>
        </is>
      </c>
      <c r="D91" s="7" t="inlineStr">
        <is>
          <t>High</t>
        </is>
      </c>
      <c r="E91" s="7" t="inlineStr">
        <is>
          <t>Houston</t>
        </is>
      </c>
      <c r="F91" s="7" t="inlineStr">
        <is>
          <t>Due within 4 days</t>
        </is>
      </c>
      <c r="G91" s="7" t="inlineStr"/>
      <c r="H91" s="7" t="inlineStr">
        <is>
          <t>Houston</t>
        </is>
      </c>
      <c r="I91" s="7" t="inlineStr">
        <is>
          <t>SUHOTXUS</t>
        </is>
      </c>
      <c r="J91" s="7" t="inlineStr">
        <is>
          <t>Recovery</t>
        </is>
      </c>
      <c r="K91" s="7" t="inlineStr">
        <is>
          <t>Tyler</t>
        </is>
      </c>
      <c r="L91" s="7" t="inlineStr">
        <is>
          <t>TX</t>
        </is>
      </c>
      <c r="M91" s="7" t="inlineStr">
        <is>
          <t>5720 South Broadway Avenue Tyler Texas 75703</t>
        </is>
      </c>
      <c r="N91" s="7" t="inlineStr"/>
      <c r="O91" s="7" t="inlineStr">
        <is>
          <t>TX</t>
        </is>
      </c>
      <c r="P91" s="7" t="inlineStr"/>
      <c r="Q91" s="7" t="inlineStr">
        <is>
          <t>Lowes</t>
        </is>
      </c>
      <c r="R91" s="7" t="inlineStr">
        <is>
          <t>403 Century Plaza Drive Houston Texas 77073</t>
        </is>
      </c>
      <c r="S91" s="7" t="n">
        <v>20</v>
      </c>
      <c r="T91" s="7" t="inlineStr"/>
      <c r="U91" s="7" t="n">
        <v>80</v>
      </c>
      <c r="V91" s="7" t="n">
        <v>120</v>
      </c>
      <c r="W91" s="7" t="n">
        <v>120</v>
      </c>
      <c r="X91" s="7" t="n">
        <v>60</v>
      </c>
      <c r="Y91" s="9" t="n">
        <v>0.95</v>
      </c>
      <c r="Z91" s="10">
        <f>SUM(U2:X2)*Y2</f>
        <v/>
      </c>
      <c r="AA91" s="7" t="inlineStr"/>
      <c r="AB91" s="7" t="inlineStr"/>
      <c r="AC91" s="7" t="inlineStr">
        <is>
          <t>06/18/2026 16:39</t>
        </is>
      </c>
      <c r="AD91" s="7" t="inlineStr">
        <is>
          <t>907156.pdf</t>
        </is>
      </c>
    </row>
    <row r="92">
      <c r="A92" s="7" t="inlineStr">
        <is>
          <t>907155</t>
        </is>
      </c>
      <c r="B92" s="7" t="inlineStr">
        <is>
          <t>LO2559</t>
        </is>
      </c>
      <c r="C92" s="8" t="inlineStr">
        <is>
          <t>06/22/2026</t>
        </is>
      </c>
      <c r="D92" s="7" t="inlineStr">
        <is>
          <t>High</t>
        </is>
      </c>
      <c r="E92" s="7" t="inlineStr">
        <is>
          <t>Houston</t>
        </is>
      </c>
      <c r="F92" s="7" t="inlineStr">
        <is>
          <t>Due within 4 days</t>
        </is>
      </c>
      <c r="G92" s="7" t="inlineStr"/>
      <c r="H92" s="7" t="inlineStr">
        <is>
          <t>Houston</t>
        </is>
      </c>
      <c r="I92" s="7" t="inlineStr">
        <is>
          <t>SUHOTXUS</t>
        </is>
      </c>
      <c r="J92" s="7" t="inlineStr">
        <is>
          <t>Recovery</t>
        </is>
      </c>
      <c r="K92" s="7" t="inlineStr">
        <is>
          <t>Henderson</t>
        </is>
      </c>
      <c r="L92" s="7" t="inlineStr">
        <is>
          <t>TX</t>
        </is>
      </c>
      <c r="M92" s="7" t="inlineStr">
        <is>
          <t>1603 US Hwy 79 S Henderson Texas 75654</t>
        </is>
      </c>
      <c r="N92" s="7" t="inlineStr"/>
      <c r="O92" s="7" t="inlineStr">
        <is>
          <t>TX</t>
        </is>
      </c>
      <c r="P92" s="7" t="inlineStr"/>
      <c r="Q92" s="7" t="inlineStr">
        <is>
          <t>Lowes</t>
        </is>
      </c>
      <c r="R92" s="7" t="inlineStr">
        <is>
          <t>403 Century Plaza Drive Houston Texas 77073</t>
        </is>
      </c>
      <c r="S92" s="7" t="n">
        <v>10</v>
      </c>
      <c r="T92" s="7" t="inlineStr"/>
      <c r="U92" s="7" t="n">
        <v>40</v>
      </c>
      <c r="V92" s="7" t="n">
        <v>60</v>
      </c>
      <c r="W92" s="7" t="n">
        <v>60</v>
      </c>
      <c r="X92" s="7" t="n">
        <v>30</v>
      </c>
      <c r="Y92" s="9" t="n">
        <v>0.95</v>
      </c>
      <c r="Z92" s="10">
        <f>SUM(U2:X2)*Y2</f>
        <v/>
      </c>
      <c r="AA92" s="7" t="inlineStr"/>
      <c r="AB92" s="7" t="inlineStr"/>
      <c r="AC92" s="7" t="inlineStr">
        <is>
          <t>06/18/2026 16:39</t>
        </is>
      </c>
      <c r="AD92" s="7" t="inlineStr">
        <is>
          <t>907155.pdf</t>
        </is>
      </c>
    </row>
    <row r="93">
      <c r="A93" s="7" t="inlineStr">
        <is>
          <t>906523</t>
        </is>
      </c>
      <c r="B93" s="7" t="inlineStr">
        <is>
          <t>LO75</t>
        </is>
      </c>
      <c r="C93" s="8" t="inlineStr">
        <is>
          <t>06/22/2026</t>
        </is>
      </c>
      <c r="D93" s="7" t="inlineStr">
        <is>
          <t>High</t>
        </is>
      </c>
      <c r="E93" s="7" t="inlineStr">
        <is>
          <t>Houston</t>
        </is>
      </c>
      <c r="F93" s="7" t="inlineStr">
        <is>
          <t>Due within 4 days</t>
        </is>
      </c>
      <c r="G93" s="7" t="inlineStr"/>
      <c r="H93" s="7" t="inlineStr">
        <is>
          <t>Houston</t>
        </is>
      </c>
      <c r="I93" s="7" t="inlineStr">
        <is>
          <t>SUHOTXUS</t>
        </is>
      </c>
      <c r="J93" s="7" t="inlineStr">
        <is>
          <t>Recovery</t>
        </is>
      </c>
      <c r="K93" s="7" t="inlineStr">
        <is>
          <t>Wichita Falls</t>
        </is>
      </c>
      <c r="L93" s="7" t="inlineStr">
        <is>
          <t>TX</t>
        </is>
      </c>
      <c r="M93" s="7" t="inlineStr">
        <is>
          <t>3301 Kell East Boulevard Wichita Falls Texas 76308</t>
        </is>
      </c>
      <c r="N93" s="7" t="inlineStr"/>
      <c r="O93" s="7" t="inlineStr">
        <is>
          <t>TX</t>
        </is>
      </c>
      <c r="P93" s="7" t="inlineStr"/>
      <c r="Q93" s="7" t="inlineStr">
        <is>
          <t>Lowes</t>
        </is>
      </c>
      <c r="R93" s="7" t="inlineStr">
        <is>
          <t>403 Century Plaza Drive Houston Texas 77073</t>
        </is>
      </c>
      <c r="S93" s="7" t="n">
        <v>14</v>
      </c>
      <c r="T93" s="7" t="inlineStr"/>
      <c r="U93" s="7" t="n">
        <v>56</v>
      </c>
      <c r="V93" s="7" t="n">
        <v>84</v>
      </c>
      <c r="W93" s="7" t="n">
        <v>84</v>
      </c>
      <c r="X93" s="7" t="n">
        <v>42</v>
      </c>
      <c r="Y93" s="9" t="n">
        <v>0.95</v>
      </c>
      <c r="Z93" s="10">
        <f>SUM(U2:X2)*Y2</f>
        <v/>
      </c>
      <c r="AA93" s="7" t="inlineStr"/>
      <c r="AB93" s="7" t="inlineStr"/>
      <c r="AC93" s="7" t="inlineStr">
        <is>
          <t>06/18/2026 16:39</t>
        </is>
      </c>
      <c r="AD93" s="7" t="inlineStr">
        <is>
          <t>906523.pdf</t>
        </is>
      </c>
    </row>
    <row r="94">
      <c r="A94" s="7" t="inlineStr">
        <is>
          <t>905427</t>
        </is>
      </c>
      <c r="B94" s="7" t="inlineStr">
        <is>
          <t>SO1189</t>
        </is>
      </c>
      <c r="C94" s="8" t="inlineStr">
        <is>
          <t>05/18/2026</t>
        </is>
      </c>
      <c r="D94" s="7" t="inlineStr">
        <is>
          <t>High</t>
        </is>
      </c>
      <c r="E94" s="7" t="inlineStr">
        <is>
          <t>Houston</t>
        </is>
      </c>
      <c r="F94" s="7" t="inlineStr">
        <is>
          <t>Overdue</t>
        </is>
      </c>
      <c r="G94" s="7" t="inlineStr"/>
      <c r="H94" s="7" t="inlineStr">
        <is>
          <t>Houston</t>
        </is>
      </c>
      <c r="I94" s="7" t="inlineStr">
        <is>
          <t>SUHOTXUS</t>
        </is>
      </c>
      <c r="J94" s="7" t="inlineStr">
        <is>
          <t>Recovery</t>
        </is>
      </c>
      <c r="K94" s="7" t="inlineStr">
        <is>
          <t>Kingwood</t>
        </is>
      </c>
      <c r="L94" s="7" t="inlineStr">
        <is>
          <t>TX</t>
        </is>
      </c>
      <c r="M94" s="7" t="inlineStr">
        <is>
          <t>1216 Stonehollow Dr Kingwood Texas 77339</t>
        </is>
      </c>
      <c r="N94" s="7" t="inlineStr"/>
      <c r="O94" s="7" t="inlineStr">
        <is>
          <t>TX</t>
        </is>
      </c>
      <c r="P94" s="7" t="inlineStr"/>
      <c r="Q94" s="7" t="inlineStr">
        <is>
          <t>Site One</t>
        </is>
      </c>
      <c r="R94" s="7" t="inlineStr">
        <is>
          <t>403 Century Plaza Drive Houston Texas 77073</t>
        </is>
      </c>
      <c r="S94" s="7" t="n">
        <v>8</v>
      </c>
      <c r="T94" s="7" t="inlineStr"/>
      <c r="U94" s="7" t="n">
        <v>32</v>
      </c>
      <c r="V94" s="7" t="n">
        <v>48</v>
      </c>
      <c r="W94" s="7" t="n">
        <v>48</v>
      </c>
      <c r="X94" s="7" t="n">
        <v>77073</v>
      </c>
      <c r="Y94" s="9" t="n">
        <v>0.95</v>
      </c>
      <c r="Z94" s="10">
        <f>SUM(U2:X2)*Y2</f>
        <v/>
      </c>
      <c r="AA94" s="7" t="inlineStr"/>
      <c r="AB94" s="7" t="inlineStr"/>
      <c r="AC94" s="7" t="inlineStr">
        <is>
          <t>06/18/2026 16:39</t>
        </is>
      </c>
      <c r="AD94" s="7" t="inlineStr">
        <is>
          <t>905427.pdf</t>
        </is>
      </c>
    </row>
    <row r="95">
      <c r="A95" s="7" t="inlineStr">
        <is>
          <t>903561</t>
        </is>
      </c>
      <c r="B95" s="7" t="inlineStr">
        <is>
          <t>LO2441</t>
        </is>
      </c>
      <c r="C95" s="8" t="inlineStr">
        <is>
          <t>06/22/2026</t>
        </is>
      </c>
      <c r="D95" s="7" t="inlineStr">
        <is>
          <t>High</t>
        </is>
      </c>
      <c r="E95" s="7" t="inlineStr">
        <is>
          <t>Houston</t>
        </is>
      </c>
      <c r="F95" s="7" t="inlineStr">
        <is>
          <t>Due within 4 days</t>
        </is>
      </c>
      <c r="G95" s="7" t="inlineStr"/>
      <c r="H95" s="7" t="inlineStr">
        <is>
          <t>Houston</t>
        </is>
      </c>
      <c r="I95" s="7" t="inlineStr">
        <is>
          <t>SUHOTXUS</t>
        </is>
      </c>
      <c r="J95" s="7" t="inlineStr">
        <is>
          <t>Recovery</t>
        </is>
      </c>
      <c r="K95" s="7" t="inlineStr">
        <is>
          <t>Forney</t>
        </is>
      </c>
      <c r="L95" s="7" t="inlineStr">
        <is>
          <t>TX</t>
        </is>
      </c>
      <c r="M95" s="7" t="inlineStr">
        <is>
          <t>902 U.S. 80 Forney Texas 75126</t>
        </is>
      </c>
      <c r="N95" s="7" t="inlineStr"/>
      <c r="O95" s="7" t="inlineStr">
        <is>
          <t>TX</t>
        </is>
      </c>
      <c r="P95" s="7" t="inlineStr"/>
      <c r="Q95" s="7" t="inlineStr">
        <is>
          <t>Lowes</t>
        </is>
      </c>
      <c r="R95" s="7" t="inlineStr">
        <is>
          <t>403 Century Plaza Drive Houston Texas 77073</t>
        </is>
      </c>
      <c r="S95" s="7" t="n">
        <v>10</v>
      </c>
      <c r="T95" s="7" t="inlineStr"/>
      <c r="U95" s="7" t="n">
        <v>40</v>
      </c>
      <c r="V95" s="7" t="n">
        <v>60</v>
      </c>
      <c r="W95" s="7" t="n">
        <v>60</v>
      </c>
      <c r="X95" s="7" t="n">
        <v>30</v>
      </c>
      <c r="Y95" s="9" t="n">
        <v>0.95</v>
      </c>
      <c r="Z95" s="10">
        <f>SUM(U2:X2)*Y2</f>
        <v/>
      </c>
      <c r="AA95" s="7" t="inlineStr"/>
      <c r="AB95" s="7" t="inlineStr"/>
      <c r="AC95" s="7" t="inlineStr">
        <is>
          <t>06/18/2026 16:39</t>
        </is>
      </c>
      <c r="AD95" s="7" t="inlineStr">
        <is>
          <t>903561.pdf</t>
        </is>
      </c>
    </row>
    <row r="96">
      <c r="A96" s="7" t="inlineStr">
        <is>
          <t>903013</t>
        </is>
      </c>
      <c r="B96" s="7" t="inlineStr">
        <is>
          <t>LO1898</t>
        </is>
      </c>
      <c r="C96" s="8" t="inlineStr">
        <is>
          <t>05/19/2026</t>
        </is>
      </c>
      <c r="D96" s="7" t="inlineStr">
        <is>
          <t>High</t>
        </is>
      </c>
      <c r="E96" s="7" t="inlineStr">
        <is>
          <t>Houston</t>
        </is>
      </c>
      <c r="F96" s="7" t="inlineStr">
        <is>
          <t>Overdue</t>
        </is>
      </c>
      <c r="G96" s="7" t="inlineStr"/>
      <c r="H96" s="7" t="inlineStr">
        <is>
          <t>Houston</t>
        </is>
      </c>
      <c r="I96" s="7" t="inlineStr">
        <is>
          <t>SUHOTXUS</t>
        </is>
      </c>
      <c r="J96" s="7" t="inlineStr">
        <is>
          <t>Recovery</t>
        </is>
      </c>
      <c r="K96" s="7" t="inlineStr">
        <is>
          <t>Rosenberg</t>
        </is>
      </c>
      <c r="L96" s="7" t="inlineStr">
        <is>
          <t>TX</t>
        </is>
      </c>
      <c r="M96" s="7" t="inlineStr">
        <is>
          <t>28005 Southwest Freeway Rosenberg Texas 77471</t>
        </is>
      </c>
      <c r="N96" s="7" t="inlineStr"/>
      <c r="O96" s="7" t="inlineStr">
        <is>
          <t>TX</t>
        </is>
      </c>
      <c r="P96" s="7" t="inlineStr"/>
      <c r="Q96" s="7" t="inlineStr">
        <is>
          <t>Lowes</t>
        </is>
      </c>
      <c r="R96" s="7" t="inlineStr">
        <is>
          <t>403 Century Plaza Drive Houston Texas 77073</t>
        </is>
      </c>
      <c r="S96" s="7" t="n">
        <v>10</v>
      </c>
      <c r="T96" s="7" t="inlineStr"/>
      <c r="U96" s="7" t="n">
        <v>40</v>
      </c>
      <c r="V96" s="7" t="n">
        <v>60</v>
      </c>
      <c r="W96" s="7" t="n">
        <v>60</v>
      </c>
      <c r="X96" s="7" t="n">
        <v>30</v>
      </c>
      <c r="Y96" s="9" t="n">
        <v>0.95</v>
      </c>
      <c r="Z96" s="10">
        <f>SUM(U2:X2)*Y2</f>
        <v/>
      </c>
      <c r="AA96" s="7" t="inlineStr"/>
      <c r="AB96" s="7" t="inlineStr"/>
      <c r="AC96" s="7" t="inlineStr">
        <is>
          <t>06/18/2026 16:39</t>
        </is>
      </c>
      <c r="AD96" s="7" t="inlineStr">
        <is>
          <t>903013.pdf</t>
        </is>
      </c>
    </row>
    <row r="97">
      <c r="A97" s="7" t="inlineStr">
        <is>
          <t>903007</t>
        </is>
      </c>
      <c r="B97" s="7" t="inlineStr">
        <is>
          <t>SO681</t>
        </is>
      </c>
      <c r="C97" s="8" t="inlineStr">
        <is>
          <t>06/22/2026</t>
        </is>
      </c>
      <c r="D97" s="7" t="inlineStr">
        <is>
          <t>High</t>
        </is>
      </c>
      <c r="E97" s="7" t="inlineStr">
        <is>
          <t>Houston</t>
        </is>
      </c>
      <c r="F97" s="7" t="inlineStr">
        <is>
          <t>Due within 4 days</t>
        </is>
      </c>
      <c r="G97" s="7" t="inlineStr"/>
      <c r="H97" s="7" t="inlineStr">
        <is>
          <t>Houston</t>
        </is>
      </c>
      <c r="I97" s="7" t="inlineStr">
        <is>
          <t>SUHOTXUS</t>
        </is>
      </c>
      <c r="J97" s="7" t="inlineStr">
        <is>
          <t>Recovery</t>
        </is>
      </c>
      <c r="K97" s="7" t="inlineStr">
        <is>
          <t>Lewisville</t>
        </is>
      </c>
      <c r="L97" s="7" t="inlineStr">
        <is>
          <t>TX</t>
        </is>
      </c>
      <c r="M97" s="7" t="inlineStr">
        <is>
          <t>521 Huffines Boulevard Lewisville Texas 75056</t>
        </is>
      </c>
      <c r="N97" s="7" t="inlineStr"/>
      <c r="O97" s="7" t="inlineStr">
        <is>
          <t>TX</t>
        </is>
      </c>
      <c r="P97" s="7" t="inlineStr"/>
      <c r="Q97" s="7" t="inlineStr">
        <is>
          <t>Site One</t>
        </is>
      </c>
      <c r="R97" s="7" t="inlineStr">
        <is>
          <t>403 Century Plaza Drive Houston Texas 77073</t>
        </is>
      </c>
      <c r="S97" s="7" t="n">
        <v>28</v>
      </c>
      <c r="T97" s="7" t="inlineStr"/>
      <c r="U97" s="7" t="n">
        <v>112</v>
      </c>
      <c r="V97" s="7" t="n">
        <v>168</v>
      </c>
      <c r="W97" s="7" t="n">
        <v>168</v>
      </c>
      <c r="X97" s="7" t="n">
        <v>386</v>
      </c>
      <c r="Y97" s="9" t="n">
        <v>0.95</v>
      </c>
      <c r="Z97" s="10">
        <f>SUM(U2:X2)*Y2</f>
        <v/>
      </c>
      <c r="AA97" s="7" t="inlineStr"/>
      <c r="AB97" s="7" t="inlineStr"/>
      <c r="AC97" s="7" t="inlineStr">
        <is>
          <t>06/18/2026 16:39</t>
        </is>
      </c>
      <c r="AD97" s="7" t="inlineStr">
        <is>
          <t>903007.pdf</t>
        </is>
      </c>
    </row>
    <row r="98">
      <c r="A98" s="7" t="inlineStr">
        <is>
          <t>903006</t>
        </is>
      </c>
      <c r="B98" s="7" t="inlineStr">
        <is>
          <t>PLAEUTX1</t>
        </is>
      </c>
      <c r="C98" s="8" t="inlineStr">
        <is>
          <t>06/22/2026</t>
        </is>
      </c>
      <c r="D98" s="7" t="inlineStr">
        <is>
          <t>High</t>
        </is>
      </c>
      <c r="E98" s="7" t="inlineStr">
        <is>
          <t>Houston</t>
        </is>
      </c>
      <c r="F98" s="7" t="inlineStr">
        <is>
          <t>Due within 4 days</t>
        </is>
      </c>
      <c r="G98" s="7" t="inlineStr"/>
      <c r="H98" s="7" t="inlineStr">
        <is>
          <t>Houston</t>
        </is>
      </c>
      <c r="I98" s="7" t="inlineStr">
        <is>
          <t>SUHOTXUS</t>
        </is>
      </c>
      <c r="J98" s="7" t="inlineStr">
        <is>
          <t>Recovery</t>
        </is>
      </c>
      <c r="K98" s="7" t="inlineStr">
        <is>
          <t>Euless</t>
        </is>
      </c>
      <c r="L98" s="7" t="inlineStr">
        <is>
          <t>TX</t>
        </is>
      </c>
      <c r="M98" s="7" t="inlineStr">
        <is>
          <t>1501 West Airport Freeway Euless Texas 76040</t>
        </is>
      </c>
      <c r="N98" s="7" t="inlineStr"/>
      <c r="O98" s="7" t="inlineStr">
        <is>
          <t>TX</t>
        </is>
      </c>
      <c r="P98" s="7" t="inlineStr"/>
      <c r="Q98" s="7" t="inlineStr">
        <is>
          <t>Premier Nursery</t>
        </is>
      </c>
      <c r="R98" s="7" t="inlineStr">
        <is>
          <t>403 Century Plaza Drive Houston Texas 77073</t>
        </is>
      </c>
      <c r="S98" s="7" t="n">
        <v>10</v>
      </c>
      <c r="T98" s="7" t="inlineStr"/>
      <c r="U98" s="7" t="n">
        <v>40</v>
      </c>
      <c r="V98" s="7" t="n">
        <v>60</v>
      </c>
      <c r="W98" s="7" t="n">
        <v>60</v>
      </c>
      <c r="X98" s="7" t="n">
        <v>30</v>
      </c>
      <c r="Y98" s="9" t="n">
        <v>0.95</v>
      </c>
      <c r="Z98" s="10">
        <f>SUM(U2:X2)*Y2</f>
        <v/>
      </c>
      <c r="AA98" s="7" t="inlineStr"/>
      <c r="AB98" s="7" t="inlineStr"/>
      <c r="AC98" s="7" t="inlineStr">
        <is>
          <t>06/18/2026 16:39</t>
        </is>
      </c>
      <c r="AD98" s="7" t="inlineStr">
        <is>
          <t>903006.pdf</t>
        </is>
      </c>
    </row>
    <row r="99">
      <c r="A99" s="7" t="inlineStr">
        <is>
          <t>903005</t>
        </is>
      </c>
      <c r="B99" s="7" t="inlineStr">
        <is>
          <t>LO183</t>
        </is>
      </c>
      <c r="C99" s="8" t="inlineStr">
        <is>
          <t>06/22/2026</t>
        </is>
      </c>
      <c r="D99" s="7" t="inlineStr">
        <is>
          <t>High</t>
        </is>
      </c>
      <c r="E99" s="7" t="inlineStr">
        <is>
          <t>Houston</t>
        </is>
      </c>
      <c r="F99" s="7" t="inlineStr">
        <is>
          <t>In Process</t>
        </is>
      </c>
      <c r="G99" s="7" t="inlineStr"/>
      <c r="H99" s="7" t="inlineStr">
        <is>
          <t>Houston</t>
        </is>
      </c>
      <c r="I99" s="7" t="inlineStr">
        <is>
          <t>SUHOTXUS</t>
        </is>
      </c>
      <c r="J99" s="7" t="inlineStr">
        <is>
          <t>Recovery</t>
        </is>
      </c>
      <c r="K99" s="7" t="inlineStr">
        <is>
          <t>Denton</t>
        </is>
      </c>
      <c r="L99" s="7" t="inlineStr">
        <is>
          <t>TX</t>
        </is>
      </c>
      <c r="M99" s="7" t="inlineStr">
        <is>
          <t>1255 South Loop 288 Denton Texas 76205</t>
        </is>
      </c>
      <c r="N99" s="7" t="inlineStr"/>
      <c r="O99" s="7" t="inlineStr">
        <is>
          <t>TX</t>
        </is>
      </c>
      <c r="P99" s="7" t="inlineStr"/>
      <c r="Q99" s="7" t="inlineStr">
        <is>
          <t>Lowes</t>
        </is>
      </c>
      <c r="R99" s="7" t="inlineStr">
        <is>
          <t>403 Century Plaza Drive Houston Texas 77073</t>
        </is>
      </c>
      <c r="S99" s="7" t="n">
        <v>10</v>
      </c>
      <c r="T99" s="7" t="inlineStr"/>
      <c r="U99" s="7" t="n">
        <v>40</v>
      </c>
      <c r="V99" s="7" t="n">
        <v>60</v>
      </c>
      <c r="W99" s="7" t="n">
        <v>60</v>
      </c>
      <c r="X99" s="7" t="n">
        <v>40</v>
      </c>
      <c r="Y99" s="9" t="n">
        <v>0.95</v>
      </c>
      <c r="Z99" s="10">
        <f>SUM(U2:X2)*Y2</f>
        <v/>
      </c>
      <c r="AA99" s="7" t="inlineStr"/>
      <c r="AB99" s="7" t="inlineStr"/>
      <c r="AC99" s="7" t="inlineStr">
        <is>
          <t>06/18/2026 16:39</t>
        </is>
      </c>
      <c r="AD99" s="7" t="inlineStr">
        <is>
          <t>903005.pdf</t>
        </is>
      </c>
    </row>
    <row r="100">
      <c r="A100" s="7" t="inlineStr">
        <is>
          <t>901419</t>
        </is>
      </c>
      <c r="B100" s="7" t="inlineStr">
        <is>
          <t>SO1234</t>
        </is>
      </c>
      <c r="C100" s="8" t="inlineStr">
        <is>
          <t>06/22/2026</t>
        </is>
      </c>
      <c r="D100" s="7" t="inlineStr">
        <is>
          <t>High</t>
        </is>
      </c>
      <c r="E100" s="7" t="inlineStr">
        <is>
          <t>Houston</t>
        </is>
      </c>
      <c r="F100" s="7" t="inlineStr">
        <is>
          <t>In Process</t>
        </is>
      </c>
      <c r="G100" s="7" t="inlineStr"/>
      <c r="H100" s="7" t="inlineStr">
        <is>
          <t>Houston</t>
        </is>
      </c>
      <c r="I100" s="7" t="inlineStr">
        <is>
          <t>SUHOTXUS</t>
        </is>
      </c>
      <c r="J100" s="7" t="inlineStr">
        <is>
          <t>Recovery</t>
        </is>
      </c>
      <c r="K100" s="7" t="inlineStr">
        <is>
          <t>Fairview</t>
        </is>
      </c>
      <c r="L100" s="7" t="inlineStr">
        <is>
          <t>TX</t>
        </is>
      </c>
      <c r="M100" s="7" t="inlineStr">
        <is>
          <t>1040 South Texas 5 Fairview Texas 75069</t>
        </is>
      </c>
      <c r="N100" s="7" t="inlineStr"/>
      <c r="O100" s="7" t="inlineStr">
        <is>
          <t>TX</t>
        </is>
      </c>
      <c r="P100" s="7" t="inlineStr"/>
      <c r="Q100" s="7" t="inlineStr">
        <is>
          <t>Site One</t>
        </is>
      </c>
      <c r="R100" s="7" t="inlineStr">
        <is>
          <t>403 Century Plaza Drive Houston Texas 77073</t>
        </is>
      </c>
      <c r="S100" s="7" t="n">
        <v>40</v>
      </c>
      <c r="T100" s="7" t="inlineStr"/>
      <c r="U100" s="7" t="n">
        <v>160</v>
      </c>
      <c r="V100" s="7" t="n">
        <v>240</v>
      </c>
      <c r="W100" s="7" t="n">
        <v>240</v>
      </c>
      <c r="X100" s="7" t="n">
        <v>980</v>
      </c>
      <c r="Y100" s="9" t="n">
        <v>0.95</v>
      </c>
      <c r="Z100" s="10">
        <f>SUM(U2:X2)*Y2</f>
        <v/>
      </c>
      <c r="AA100" s="7" t="inlineStr"/>
      <c r="AB100" s="7" t="inlineStr"/>
      <c r="AC100" s="7" t="inlineStr">
        <is>
          <t>06/18/2026 16:39</t>
        </is>
      </c>
      <c r="AD100" s="7" t="inlineStr">
        <is>
          <t>901419.pdf</t>
        </is>
      </c>
    </row>
    <row r="101">
      <c r="A101" s="7" t="inlineStr">
        <is>
          <t>899452</t>
        </is>
      </c>
      <c r="B101" s="7" t="inlineStr">
        <is>
          <t>SO220</t>
        </is>
      </c>
      <c r="C101" s="8" t="inlineStr">
        <is>
          <t>06/22/2026</t>
        </is>
      </c>
      <c r="D101" s="7" t="inlineStr">
        <is>
          <t>High</t>
        </is>
      </c>
      <c r="E101" s="7" t="inlineStr">
        <is>
          <t>Dallas</t>
        </is>
      </c>
      <c r="F101" s="7" t="inlineStr">
        <is>
          <t>Due within 4 days</t>
        </is>
      </c>
      <c r="G101" s="7" t="inlineStr"/>
      <c r="H101" s="7" t="inlineStr">
        <is>
          <t>Dallas</t>
        </is>
      </c>
      <c r="I101" s="7" t="inlineStr">
        <is>
          <t>SUHOTXUS</t>
        </is>
      </c>
      <c r="J101" s="7" t="inlineStr">
        <is>
          <t>Recovery</t>
        </is>
      </c>
      <c r="K101" s="7" t="inlineStr">
        <is>
          <t>Arlington</t>
        </is>
      </c>
      <c r="L101" s="7" t="inlineStr">
        <is>
          <t>TX</t>
        </is>
      </c>
      <c r="M101" s="7" t="inlineStr">
        <is>
          <t>811 West Harris Road Arlington Texas 76001</t>
        </is>
      </c>
      <c r="N101" s="7" t="inlineStr"/>
      <c r="O101" s="7" t="inlineStr">
        <is>
          <t>TX</t>
        </is>
      </c>
      <c r="P101" s="7" t="inlineStr"/>
      <c r="Q101" s="7" t="inlineStr">
        <is>
          <t>Site One</t>
        </is>
      </c>
      <c r="R101" s="7" t="inlineStr">
        <is>
          <t>8101 Tristar Drive Suite 112 Irving Texas 75063</t>
        </is>
      </c>
      <c r="S101" s="7" t="n">
        <v>20</v>
      </c>
      <c r="T101" s="7" t="inlineStr"/>
      <c r="U101" s="7" t="n">
        <v>80</v>
      </c>
      <c r="V101" s="7" t="n">
        <v>120</v>
      </c>
      <c r="W101" s="7" t="n">
        <v>120</v>
      </c>
      <c r="X101" s="7" t="n">
        <v>60</v>
      </c>
      <c r="Y101" s="9" t="n">
        <v>0.95</v>
      </c>
      <c r="Z101" s="10">
        <f>SUM(U2:X2)*Y2</f>
        <v/>
      </c>
      <c r="AA101" s="7" t="inlineStr"/>
      <c r="AB101" s="7" t="inlineStr"/>
      <c r="AC101" s="7" t="inlineStr">
        <is>
          <t>06/18/2026 16:39</t>
        </is>
      </c>
      <c r="AD101" s="7" t="inlineStr">
        <is>
          <t>899452.pdf</t>
        </is>
      </c>
    </row>
    <row r="102">
      <c r="A102" s="7" t="inlineStr">
        <is>
          <t>899370</t>
        </is>
      </c>
      <c r="B102" s="7" t="inlineStr">
        <is>
          <t>CA103</t>
        </is>
      </c>
      <c r="C102" s="8" t="inlineStr">
        <is>
          <t>06/22/2026</t>
        </is>
      </c>
      <c r="D102" s="7" t="inlineStr">
        <is>
          <t>High</t>
        </is>
      </c>
      <c r="E102" s="7" t="inlineStr">
        <is>
          <t>Dallas</t>
        </is>
      </c>
      <c r="F102" s="7" t="inlineStr">
        <is>
          <t>Due within 4 days</t>
        </is>
      </c>
      <c r="G102" s="7" t="inlineStr"/>
      <c r="H102" s="7" t="inlineStr">
        <is>
          <t>Dallas</t>
        </is>
      </c>
      <c r="I102" s="7" t="inlineStr">
        <is>
          <t>SUHOTXUS</t>
        </is>
      </c>
      <c r="J102" s="7" t="inlineStr">
        <is>
          <t>Recovery</t>
        </is>
      </c>
      <c r="K102" s="7" t="inlineStr">
        <is>
          <t>Mesquite</t>
        </is>
      </c>
      <c r="L102" s="7" t="inlineStr">
        <is>
          <t>TX</t>
        </is>
      </c>
      <c r="M102" s="7" t="inlineStr">
        <is>
          <t>4220 North Galloway Avenue Mesquite Texas 75150</t>
        </is>
      </c>
      <c r="N102" s="7" t="inlineStr"/>
      <c r="O102" s="7" t="inlineStr">
        <is>
          <t>TX</t>
        </is>
      </c>
      <c r="P102" s="7" t="inlineStr"/>
      <c r="Q102" s="7" t="inlineStr">
        <is>
          <t>Calloways</t>
        </is>
      </c>
      <c r="R102" s="7" t="inlineStr">
        <is>
          <t>8101 Tristar Drive Suite 112 Irving Texas 75063</t>
        </is>
      </c>
      <c r="S102" s="7" t="n">
        <v>5</v>
      </c>
      <c r="T102" s="7" t="inlineStr"/>
      <c r="U102" s="7" t="n">
        <v>20</v>
      </c>
      <c r="V102" s="7" t="n">
        <v>30</v>
      </c>
      <c r="W102" s="7" t="n">
        <v>30</v>
      </c>
      <c r="X102" s="7" t="n">
        <v>15</v>
      </c>
      <c r="Y102" s="9" t="n">
        <v>0.95</v>
      </c>
      <c r="Z102" s="10">
        <f>SUM(U2:X2)*Y2</f>
        <v/>
      </c>
      <c r="AA102" s="7" t="inlineStr"/>
      <c r="AB102" s="7" t="inlineStr"/>
      <c r="AC102" s="7" t="inlineStr">
        <is>
          <t>06/18/2026 16:39</t>
        </is>
      </c>
      <c r="AD102" s="7" t="inlineStr">
        <is>
          <t>899370.pdf</t>
        </is>
      </c>
    </row>
    <row r="103">
      <c r="A103" s="7" t="inlineStr">
        <is>
          <t>899366</t>
        </is>
      </c>
      <c r="B103" s="7" t="inlineStr">
        <is>
          <t>CA119</t>
        </is>
      </c>
      <c r="C103" s="8" t="inlineStr">
        <is>
          <t>06/22/2026</t>
        </is>
      </c>
      <c r="D103" s="7" t="inlineStr">
        <is>
          <t>High</t>
        </is>
      </c>
      <c r="E103" s="7" t="inlineStr">
        <is>
          <t>Houston</t>
        </is>
      </c>
      <c r="F103" s="7" t="inlineStr">
        <is>
          <t>Due within 4 days</t>
        </is>
      </c>
      <c r="G103" s="7" t="inlineStr"/>
      <c r="H103" s="7" t="inlineStr">
        <is>
          <t>Houston</t>
        </is>
      </c>
      <c r="I103" s="7" t="inlineStr">
        <is>
          <t>SUHOTXUS</t>
        </is>
      </c>
      <c r="J103" s="7" t="inlineStr">
        <is>
          <t>Recovery</t>
        </is>
      </c>
      <c r="K103" s="7" t="inlineStr">
        <is>
          <t>Hurst</t>
        </is>
      </c>
      <c r="L103" s="7" t="inlineStr">
        <is>
          <t>TX</t>
        </is>
      </c>
      <c r="M103" s="7" t="inlineStr">
        <is>
          <t>760 Grapevine Highway Hurst Texas 76054</t>
        </is>
      </c>
      <c r="N103" s="7" t="inlineStr"/>
      <c r="O103" s="7" t="inlineStr">
        <is>
          <t>TX</t>
        </is>
      </c>
      <c r="P103" s="7" t="inlineStr"/>
      <c r="Q103" s="7" t="inlineStr">
        <is>
          <t>Calloways</t>
        </is>
      </c>
      <c r="R103" s="7" t="inlineStr">
        <is>
          <t>403 Century Plaza Drive Houston Texas 77073</t>
        </is>
      </c>
      <c r="S103" s="7" t="n">
        <v>5</v>
      </c>
      <c r="T103" s="7" t="inlineStr"/>
      <c r="U103" s="7" t="n">
        <v>20</v>
      </c>
      <c r="V103" s="7" t="n">
        <v>30</v>
      </c>
      <c r="W103" s="7" t="n">
        <v>30</v>
      </c>
      <c r="X103" s="7" t="n">
        <v>15</v>
      </c>
      <c r="Y103" s="9" t="n">
        <v>0.95</v>
      </c>
      <c r="Z103" s="10">
        <f>SUM(U2:X2)*Y2</f>
        <v/>
      </c>
      <c r="AA103" s="7" t="inlineStr"/>
      <c r="AB103" s="7" t="inlineStr"/>
      <c r="AC103" s="7" t="inlineStr">
        <is>
          <t>06/18/2026 16:39</t>
        </is>
      </c>
      <c r="AD103" s="7" t="inlineStr">
        <is>
          <t>899366.pdf</t>
        </is>
      </c>
    </row>
    <row r="104">
      <c r="A104" s="7" t="inlineStr">
        <is>
          <t>896322</t>
        </is>
      </c>
      <c r="B104" s="7" t="inlineStr">
        <is>
          <t>SU3217</t>
        </is>
      </c>
      <c r="C104" s="8" t="inlineStr">
        <is>
          <t>06/22/2026</t>
        </is>
      </c>
      <c r="D104" s="7" t="inlineStr">
        <is>
          <t>High</t>
        </is>
      </c>
      <c r="E104" s="7" t="inlineStr">
        <is>
          <t>Houston</t>
        </is>
      </c>
      <c r="F104" s="7" t="inlineStr">
        <is>
          <t>Due within 4 days</t>
        </is>
      </c>
      <c r="G104" s="7" t="inlineStr"/>
      <c r="H104" s="7" t="inlineStr">
        <is>
          <t>Houston</t>
        </is>
      </c>
      <c r="I104" s="7" t="inlineStr">
        <is>
          <t>SUHOTXUS</t>
        </is>
      </c>
      <c r="J104" s="7" t="inlineStr">
        <is>
          <t>Recovery</t>
        </is>
      </c>
      <c r="K104" s="7" t="inlineStr">
        <is>
          <t>Wichita Falls</t>
        </is>
      </c>
      <c r="L104" s="7" t="inlineStr">
        <is>
          <t>TX</t>
        </is>
      </c>
      <c r="M104" s="7" t="inlineStr">
        <is>
          <t>1401 Southwest Parkway Wichita Falls Texas 76302</t>
        </is>
      </c>
      <c r="N104" s="7" t="inlineStr"/>
      <c r="O104" s="7" t="inlineStr">
        <is>
          <t>TX</t>
        </is>
      </c>
      <c r="P104" s="7" t="inlineStr"/>
      <c r="Q104" s="7" t="inlineStr">
        <is>
          <t>Sutherlands</t>
        </is>
      </c>
      <c r="R104" s="7" t="inlineStr">
        <is>
          <t>403 Century Plaza Drive Houston Texas 77073</t>
        </is>
      </c>
      <c r="S104" s="7" t="n">
        <v>11</v>
      </c>
      <c r="T104" s="7" t="inlineStr"/>
      <c r="U104" s="7" t="n">
        <v>44</v>
      </c>
      <c r="V104" s="7" t="n">
        <v>66</v>
      </c>
      <c r="W104" s="7" t="n">
        <v>66</v>
      </c>
      <c r="X104" s="7" t="n">
        <v>33</v>
      </c>
      <c r="Y104" s="9" t="n">
        <v>0.95</v>
      </c>
      <c r="Z104" s="10">
        <f>SUM(U2:X2)*Y2</f>
        <v/>
      </c>
      <c r="AA104" s="7" t="inlineStr"/>
      <c r="AB104" s="7" t="inlineStr"/>
      <c r="AC104" s="7" t="inlineStr">
        <is>
          <t>06/18/2026 16:39</t>
        </is>
      </c>
      <c r="AD104" s="7" t="inlineStr">
        <is>
          <t>896322.pdf</t>
        </is>
      </c>
    </row>
    <row r="105">
      <c r="A105" s="7" t="inlineStr">
        <is>
          <t>885046</t>
        </is>
      </c>
      <c r="B105" s="7" t="inlineStr">
        <is>
          <t>HD6830</t>
        </is>
      </c>
      <c r="C105" s="8" t="inlineStr">
        <is>
          <t>06/22/2026</t>
        </is>
      </c>
      <c r="D105" s="7" t="inlineStr">
        <is>
          <t>High</t>
        </is>
      </c>
      <c r="E105" s="7" t="inlineStr">
        <is>
          <t>Houston</t>
        </is>
      </c>
      <c r="F105" s="7" t="inlineStr">
        <is>
          <t>Due within 4 days</t>
        </is>
      </c>
      <c r="G105" s="7" t="inlineStr"/>
      <c r="H105" s="7" t="inlineStr">
        <is>
          <t>Houston</t>
        </is>
      </c>
      <c r="I105" s="7" t="inlineStr">
        <is>
          <t>SUHOTXUS</t>
        </is>
      </c>
      <c r="J105" s="7" t="inlineStr">
        <is>
          <t>Recovery</t>
        </is>
      </c>
      <c r="K105" s="7" t="inlineStr">
        <is>
          <t>Bellmead</t>
        </is>
      </c>
      <c r="L105" s="7" t="inlineStr">
        <is>
          <t>TX</t>
        </is>
      </c>
      <c r="M105" s="7" t="inlineStr">
        <is>
          <t>1803 Interstate 35 North Frontage Road Bellmead Texas 76705</t>
        </is>
      </c>
      <c r="N105" s="7" t="inlineStr"/>
      <c r="O105" s="7" t="inlineStr">
        <is>
          <t>TX</t>
        </is>
      </c>
      <c r="P105" s="7" t="inlineStr"/>
      <c r="Q105" s="7" t="inlineStr">
        <is>
          <t>Home Depot</t>
        </is>
      </c>
      <c r="R105" s="7" t="inlineStr">
        <is>
          <t>403 Century Plaza Drive Houston Texas 77073</t>
        </is>
      </c>
      <c r="S105" s="7" t="n">
        <v>12</v>
      </c>
      <c r="T105" s="7" t="inlineStr"/>
      <c r="U105" s="7" t="n">
        <v>48</v>
      </c>
      <c r="V105" s="7" t="n">
        <v>72</v>
      </c>
      <c r="W105" s="7" t="n">
        <v>72</v>
      </c>
      <c r="X105" s="7" t="n">
        <v>36</v>
      </c>
      <c r="Y105" s="9" t="n">
        <v>0.95</v>
      </c>
      <c r="Z105" s="10">
        <f>SUM(U2:X2)*Y2</f>
        <v/>
      </c>
      <c r="AA105" s="7" t="inlineStr"/>
      <c r="AB105" s="7" t="inlineStr"/>
      <c r="AC105" s="7" t="inlineStr">
        <is>
          <t>06/18/2026 16:39</t>
        </is>
      </c>
      <c r="AD105" s="7" t="inlineStr">
        <is>
          <t>885046.pdf</t>
        </is>
      </c>
    </row>
    <row r="106">
      <c r="A106" s="7" t="inlineStr">
        <is>
          <t>866887</t>
        </is>
      </c>
      <c r="B106" s="7" t="inlineStr">
        <is>
          <t>SMIWITX1</t>
        </is>
      </c>
      <c r="C106" s="8" t="inlineStr">
        <is>
          <t>06/22/2026</t>
        </is>
      </c>
      <c r="D106" s="7" t="inlineStr">
        <is>
          <t>High</t>
        </is>
      </c>
      <c r="E106" s="7" t="inlineStr">
        <is>
          <t>Houston</t>
        </is>
      </c>
      <c r="F106" s="7" t="inlineStr">
        <is>
          <t>Due within 4 days</t>
        </is>
      </c>
      <c r="G106" s="7" t="inlineStr"/>
      <c r="H106" s="7" t="inlineStr">
        <is>
          <t>Houston</t>
        </is>
      </c>
      <c r="I106" s="7" t="inlineStr">
        <is>
          <t>SUHOTXUS</t>
        </is>
      </c>
      <c r="J106" s="7" t="inlineStr">
        <is>
          <t>Recovery</t>
        </is>
      </c>
      <c r="K106" s="7" t="inlineStr">
        <is>
          <t>Wichita Falls</t>
        </is>
      </c>
      <c r="L106" s="7" t="inlineStr">
        <is>
          <t>TX</t>
        </is>
      </c>
      <c r="M106" s="7" t="inlineStr">
        <is>
          <t>4940 Seymour Highway Wichita Falls Texas 76310</t>
        </is>
      </c>
      <c r="N106" s="7" t="inlineStr"/>
      <c r="O106" s="7" t="inlineStr">
        <is>
          <t>TX</t>
        </is>
      </c>
      <c r="P106" s="7" t="inlineStr"/>
      <c r="Q106" s="7" t="inlineStr">
        <is>
          <t>Smith's Gardentown</t>
        </is>
      </c>
      <c r="R106" s="7" t="inlineStr">
        <is>
          <t>403 Century Plaza Drive Houston Texas 77073</t>
        </is>
      </c>
      <c r="S106" s="7" t="n">
        <v>43</v>
      </c>
      <c r="T106" s="7" t="inlineStr"/>
      <c r="U106" s="7" t="n">
        <v>172</v>
      </c>
      <c r="V106" s="7" t="n">
        <v>258</v>
      </c>
      <c r="W106" s="7" t="n">
        <v>258</v>
      </c>
      <c r="X106" s="7" t="n">
        <v>129</v>
      </c>
      <c r="Y106" s="9" t="n">
        <v>0.95</v>
      </c>
      <c r="Z106" s="10">
        <f>SUM(U2:X2)*Y2</f>
        <v/>
      </c>
      <c r="AA106" s="7" t="inlineStr"/>
      <c r="AB106" s="7" t="inlineStr"/>
      <c r="AC106" s="7" t="inlineStr">
        <is>
          <t>06/18/2026 16:39</t>
        </is>
      </c>
      <c r="AD106" s="7" t="inlineStr">
        <is>
          <t>866887.pdf</t>
        </is>
      </c>
    </row>
    <row r="107">
      <c r="A107" s="7" t="inlineStr">
        <is>
          <t>856724</t>
        </is>
      </c>
      <c r="B107" s="7" t="inlineStr">
        <is>
          <t>HD6532</t>
        </is>
      </c>
      <c r="C107" s="8" t="inlineStr">
        <is>
          <t>06/22/2026</t>
        </is>
      </c>
      <c r="D107" s="7" t="inlineStr">
        <is>
          <t>High</t>
        </is>
      </c>
      <c r="E107" s="7" t="inlineStr">
        <is>
          <t>Houston</t>
        </is>
      </c>
      <c r="F107" s="7" t="inlineStr">
        <is>
          <t>Due within 4 days</t>
        </is>
      </c>
      <c r="G107" s="7" t="inlineStr"/>
      <c r="H107" s="7" t="inlineStr">
        <is>
          <t>Houston</t>
        </is>
      </c>
      <c r="I107" s="7" t="inlineStr">
        <is>
          <t>SUHOTXUS</t>
        </is>
      </c>
      <c r="J107" s="7" t="inlineStr">
        <is>
          <t>Recovery</t>
        </is>
      </c>
      <c r="K107" s="7" t="inlineStr">
        <is>
          <t>Waco</t>
        </is>
      </c>
      <c r="L107" s="7" t="inlineStr">
        <is>
          <t>TX</t>
        </is>
      </c>
      <c r="M107" s="7" t="inlineStr">
        <is>
          <t>5605 West Waco Drive Waco Texas 76710</t>
        </is>
      </c>
      <c r="N107" s="7" t="inlineStr"/>
      <c r="O107" s="7" t="inlineStr">
        <is>
          <t>TX</t>
        </is>
      </c>
      <c r="P107" s="7" t="inlineStr"/>
      <c r="Q107" s="7" t="inlineStr">
        <is>
          <t>Home Depot</t>
        </is>
      </c>
      <c r="R107" s="7" t="inlineStr">
        <is>
          <t>403 Century Plaza Drive Houston Texas 77073</t>
        </is>
      </c>
      <c r="S107" s="7" t="n">
        <v>17</v>
      </c>
      <c r="T107" s="7" t="inlineStr"/>
      <c r="U107" s="7" t="n">
        <v>68</v>
      </c>
      <c r="V107" s="7" t="n">
        <v>102</v>
      </c>
      <c r="W107" s="7" t="n">
        <v>102</v>
      </c>
      <c r="X107" s="7" t="n">
        <v>51</v>
      </c>
      <c r="Y107" s="9" t="n">
        <v>0.95</v>
      </c>
      <c r="Z107" s="10">
        <f>SUM(U2:X2)*Y2</f>
        <v/>
      </c>
      <c r="AA107" s="7" t="inlineStr"/>
      <c r="AB107" s="7" t="inlineStr"/>
      <c r="AC107" s="7" t="inlineStr">
        <is>
          <t>06/18/2026 16:39</t>
        </is>
      </c>
      <c r="AD107" s="7" t="inlineStr">
        <is>
          <t>856724.pdf</t>
        </is>
      </c>
    </row>
    <row r="108">
      <c r="A108" s="7" t="inlineStr">
        <is>
          <t>856723</t>
        </is>
      </c>
      <c r="B108" s="7" t="inlineStr">
        <is>
          <t>LO2601</t>
        </is>
      </c>
      <c r="C108" s="8" t="inlineStr">
        <is>
          <t>06/22/2026</t>
        </is>
      </c>
      <c r="D108" s="7" t="inlineStr">
        <is>
          <t>High</t>
        </is>
      </c>
      <c r="E108" s="7" t="inlineStr">
        <is>
          <t>Houston</t>
        </is>
      </c>
      <c r="F108" s="7" t="inlineStr">
        <is>
          <t>Due within 4 days</t>
        </is>
      </c>
      <c r="G108" s="7" t="inlineStr"/>
      <c r="H108" s="7" t="inlineStr">
        <is>
          <t>Houston</t>
        </is>
      </c>
      <c r="I108" s="7" t="inlineStr">
        <is>
          <t>SUHOTXUS</t>
        </is>
      </c>
      <c r="J108" s="7" t="inlineStr">
        <is>
          <t>Recovery</t>
        </is>
      </c>
      <c r="K108" s="7" t="inlineStr">
        <is>
          <t>Waxahachie</t>
        </is>
      </c>
      <c r="L108" s="7" t="inlineStr">
        <is>
          <t>TX</t>
        </is>
      </c>
      <c r="M108" s="7" t="inlineStr">
        <is>
          <t>1420 North Highway 77 Waxahachie Texas 75165</t>
        </is>
      </c>
      <c r="N108" s="7" t="inlineStr"/>
      <c r="O108" s="7" t="inlineStr">
        <is>
          <t>TX</t>
        </is>
      </c>
      <c r="P108" s="7" t="inlineStr"/>
      <c r="Q108" s="7" t="inlineStr">
        <is>
          <t>Lowes</t>
        </is>
      </c>
      <c r="R108" s="7" t="inlineStr">
        <is>
          <t>403 Century Plaza Drive Houston Texas 77073</t>
        </is>
      </c>
      <c r="S108" s="7" t="n">
        <v>11</v>
      </c>
      <c r="T108" s="7" t="inlineStr"/>
      <c r="U108" s="7" t="n">
        <v>44</v>
      </c>
      <c r="V108" s="7" t="n">
        <v>66</v>
      </c>
      <c r="W108" s="7" t="n">
        <v>66</v>
      </c>
      <c r="X108" s="7" t="n">
        <v>33</v>
      </c>
      <c r="Y108" s="9" t="n">
        <v>0.95</v>
      </c>
      <c r="Z108" s="10">
        <f>SUM(U2:X2)*Y2</f>
        <v/>
      </c>
      <c r="AA108" s="7" t="inlineStr"/>
      <c r="AB108" s="7" t="inlineStr"/>
      <c r="AC108" s="7" t="inlineStr">
        <is>
          <t>06/18/2026 16:39</t>
        </is>
      </c>
      <c r="AD108" s="7" t="inlineStr">
        <is>
          <t>856723.pdf</t>
        </is>
      </c>
    </row>
    <row r="109">
      <c r="A109" s="7" t="inlineStr">
        <is>
          <t>849312</t>
        </is>
      </c>
      <c r="B109" s="7" t="inlineStr">
        <is>
          <t>LO1969</t>
        </is>
      </c>
      <c r="C109" s="8" t="inlineStr">
        <is>
          <t>06/22/2026</t>
        </is>
      </c>
      <c r="D109" s="7" t="inlineStr">
        <is>
          <t>High</t>
        </is>
      </c>
      <c r="E109" s="7" t="inlineStr">
        <is>
          <t>Houston</t>
        </is>
      </c>
      <c r="F109" s="7" t="inlineStr">
        <is>
          <t>Due within 4 days</t>
        </is>
      </c>
      <c r="G109" s="7" t="inlineStr"/>
      <c r="H109" s="7" t="inlineStr">
        <is>
          <t>Houston</t>
        </is>
      </c>
      <c r="I109" s="7" t="inlineStr">
        <is>
          <t>SUHOTXUS</t>
        </is>
      </c>
      <c r="J109" s="7" t="inlineStr">
        <is>
          <t>Recovery</t>
        </is>
      </c>
      <c r="K109" s="7" t="inlineStr">
        <is>
          <t>Weatherford</t>
        </is>
      </c>
      <c r="L109" s="7" t="inlineStr">
        <is>
          <t>TX</t>
        </is>
      </c>
      <c r="M109" s="7" t="inlineStr">
        <is>
          <t>118 Interstate 20 Weatherford Texas 76087</t>
        </is>
      </c>
      <c r="N109" s="7" t="inlineStr"/>
      <c r="O109" s="7" t="inlineStr">
        <is>
          <t>TX</t>
        </is>
      </c>
      <c r="P109" s="7" t="inlineStr"/>
      <c r="Q109" s="7" t="inlineStr">
        <is>
          <t>Lowes</t>
        </is>
      </c>
      <c r="R109" s="7" t="inlineStr">
        <is>
          <t>403 Century Plaza Drive Houston Texas 77073</t>
        </is>
      </c>
      <c r="S109" s="7" t="n">
        <v>9</v>
      </c>
      <c r="T109" s="7" t="inlineStr"/>
      <c r="U109" s="7" t="n">
        <v>36</v>
      </c>
      <c r="V109" s="7" t="n">
        <v>54</v>
      </c>
      <c r="W109" s="7" t="n">
        <v>54</v>
      </c>
      <c r="X109" s="7" t="n">
        <v>27</v>
      </c>
      <c r="Y109" s="9" t="n">
        <v>0.95</v>
      </c>
      <c r="Z109" s="10">
        <f>SUM(U2:X2)*Y2</f>
        <v/>
      </c>
      <c r="AA109" s="7" t="inlineStr"/>
      <c r="AB109" s="7" t="inlineStr"/>
      <c r="AC109" s="7" t="inlineStr">
        <is>
          <t>06/18/2026 16:39</t>
        </is>
      </c>
      <c r="AD109" s="7" t="inlineStr">
        <is>
          <t>849312.pdf</t>
        </is>
      </c>
    </row>
    <row r="110">
      <c r="A110" s="7" t="inlineStr">
        <is>
          <t>832134</t>
        </is>
      </c>
      <c r="B110" s="7" t="inlineStr">
        <is>
          <t>LO129</t>
        </is>
      </c>
      <c r="C110" s="8" t="inlineStr">
        <is>
          <t>06/22/2026</t>
        </is>
      </c>
      <c r="D110" s="7" t="inlineStr">
        <is>
          <t>Urgent</t>
        </is>
      </c>
      <c r="E110" s="7" t="inlineStr">
        <is>
          <t>Houston</t>
        </is>
      </c>
      <c r="F110" s="7" t="inlineStr">
        <is>
          <t>Urgent</t>
        </is>
      </c>
      <c r="G110" s="7" t="inlineStr"/>
      <c r="H110" s="7" t="inlineStr">
        <is>
          <t>Houston</t>
        </is>
      </c>
      <c r="I110" s="7" t="inlineStr">
        <is>
          <t>SUHOTXUS</t>
        </is>
      </c>
      <c r="J110" s="7" t="inlineStr">
        <is>
          <t>Recovery</t>
        </is>
      </c>
      <c r="K110" s="7" t="inlineStr">
        <is>
          <t>Waco</t>
        </is>
      </c>
      <c r="L110" s="7" t="inlineStr">
        <is>
          <t>TX</t>
        </is>
      </c>
      <c r="M110" s="7" t="inlineStr">
        <is>
          <t>201 North New Road Waco Texas 76710</t>
        </is>
      </c>
      <c r="N110" s="7" t="inlineStr"/>
      <c r="O110" s="7" t="inlineStr">
        <is>
          <t>TX</t>
        </is>
      </c>
      <c r="P110" s="7" t="inlineStr"/>
      <c r="Q110" s="7" t="inlineStr">
        <is>
          <t>Lowes</t>
        </is>
      </c>
      <c r="R110" s="7" t="inlineStr">
        <is>
          <t>403 Century Plaza Drive Houston Texas 77073</t>
        </is>
      </c>
      <c r="S110" s="7" t="n">
        <v>42</v>
      </c>
      <c r="T110" s="7" t="inlineStr"/>
      <c r="U110" s="7" t="n">
        <v>168</v>
      </c>
      <c r="V110" s="7" t="n">
        <v>252</v>
      </c>
      <c r="W110" s="7" t="n">
        <v>252</v>
      </c>
      <c r="X110" s="7" t="n">
        <v>79</v>
      </c>
      <c r="Y110" s="9" t="n">
        <v>0.95</v>
      </c>
      <c r="Z110" s="10">
        <f>SUM(U2:X2)*Y2</f>
        <v/>
      </c>
      <c r="AA110" s="7" t="inlineStr"/>
      <c r="AB110" s="7" t="inlineStr"/>
      <c r="AC110" s="7" t="inlineStr">
        <is>
          <t>06/18/2026 16:39</t>
        </is>
      </c>
      <c r="AD110" s="7" t="inlineStr">
        <is>
          <t>832134.pdf</t>
        </is>
      </c>
    </row>
    <row r="111">
      <c r="A111" s="7" t="inlineStr">
        <is>
          <t>827259</t>
        </is>
      </c>
      <c r="B111" s="7" t="inlineStr">
        <is>
          <t>BARHETX1</t>
        </is>
      </c>
      <c r="C111" s="8" t="inlineStr">
        <is>
          <t>06/22/2026</t>
        </is>
      </c>
      <c r="D111" s="7" t="inlineStr">
        <is>
          <t>Urgent</t>
        </is>
      </c>
      <c r="E111" s="7" t="inlineStr">
        <is>
          <t>Houston</t>
        </is>
      </c>
      <c r="F111" s="7" t="inlineStr">
        <is>
          <t>Urgent</t>
        </is>
      </c>
      <c r="G111" s="7" t="inlineStr"/>
      <c r="H111" s="7" t="inlineStr">
        <is>
          <t>Houston</t>
        </is>
      </c>
      <c r="I111" s="7" t="inlineStr">
        <is>
          <t>SUHOTXUS</t>
        </is>
      </c>
      <c r="J111" s="7" t="inlineStr">
        <is>
          <t>Recovery</t>
        </is>
      </c>
      <c r="K111" s="7" t="inlineStr">
        <is>
          <t>Hewitt</t>
        </is>
      </c>
      <c r="L111" s="7" t="inlineStr">
        <is>
          <t>TX</t>
        </is>
      </c>
      <c r="M111" s="7" t="inlineStr">
        <is>
          <t>201 Sun Valley Boulevard Hewitt Texas 76643</t>
        </is>
      </c>
      <c r="N111" s="7" t="inlineStr"/>
      <c r="O111" s="7" t="inlineStr">
        <is>
          <t>TX</t>
        </is>
      </c>
      <c r="P111" s="7" t="inlineStr"/>
      <c r="Q111" s="7" t="inlineStr">
        <is>
          <t>Barerra's Nursery</t>
        </is>
      </c>
      <c r="R111" s="7" t="inlineStr">
        <is>
          <t>403 Century Plaza Drive Houston Texas 77073</t>
        </is>
      </c>
      <c r="S111" s="7" t="n">
        <v>47</v>
      </c>
      <c r="T111" s="7" t="inlineStr"/>
      <c r="U111" s="7" t="n">
        <v>188</v>
      </c>
      <c r="V111" s="7" t="n">
        <v>282</v>
      </c>
      <c r="W111" s="7" t="n">
        <v>282</v>
      </c>
      <c r="X111" s="7" t="n">
        <v>327</v>
      </c>
      <c r="Y111" s="9" t="n">
        <v>0.95</v>
      </c>
      <c r="Z111" s="10">
        <f>SUM(U2:X2)*Y2</f>
        <v/>
      </c>
      <c r="AA111" s="7" t="inlineStr"/>
      <c r="AB111" s="7" t="inlineStr"/>
      <c r="AC111" s="7" t="inlineStr">
        <is>
          <t>06/18/2026 16:39</t>
        </is>
      </c>
      <c r="AD111" s="7" t="inlineStr">
        <is>
          <t>827259.pdf</t>
        </is>
      </c>
    </row>
    <row r="112">
      <c r="A112" s="7" t="inlineStr">
        <is>
          <t>811306</t>
        </is>
      </c>
      <c r="B112" s="7" t="inlineStr">
        <is>
          <t>GREWATX1</t>
        </is>
      </c>
      <c r="C112" s="8" t="inlineStr">
        <is>
          <t>06/22/2026</t>
        </is>
      </c>
      <c r="D112" s="7" t="inlineStr">
        <is>
          <t>Urgent</t>
        </is>
      </c>
      <c r="E112" s="7" t="inlineStr">
        <is>
          <t>Houston</t>
        </is>
      </c>
      <c r="F112" s="7" t="inlineStr">
        <is>
          <t>Urgent</t>
        </is>
      </c>
      <c r="G112" s="7" t="inlineStr"/>
      <c r="H112" s="7" t="inlineStr">
        <is>
          <t>Houston</t>
        </is>
      </c>
      <c r="I112" s="7" t="inlineStr">
        <is>
          <t>SUHOTXUS</t>
        </is>
      </c>
      <c r="J112" s="7" t="inlineStr">
        <is>
          <t>Recovery</t>
        </is>
      </c>
      <c r="K112" s="7" t="inlineStr">
        <is>
          <t>Waxahachie</t>
        </is>
      </c>
      <c r="L112" s="7" t="inlineStr">
        <is>
          <t>TX</t>
        </is>
      </c>
      <c r="M112" s="7" t="inlineStr">
        <is>
          <t>3671 North Highway 77 Waxahachie Texas 75165</t>
        </is>
      </c>
      <c r="N112" s="7" t="inlineStr"/>
      <c r="O112" s="7" t="inlineStr">
        <is>
          <t>TX</t>
        </is>
      </c>
      <c r="P112" s="7" t="inlineStr"/>
      <c r="Q112" s="7" t="inlineStr">
        <is>
          <t>The Greenery</t>
        </is>
      </c>
      <c r="R112" s="7" t="inlineStr">
        <is>
          <t>403 Century Plaza Drive Houston Texas 77073</t>
        </is>
      </c>
      <c r="S112" s="7" t="n">
        <v>7</v>
      </c>
      <c r="T112" s="7" t="inlineStr"/>
      <c r="U112" s="7" t="n">
        <v>28</v>
      </c>
      <c r="V112" s="7" t="n">
        <v>42</v>
      </c>
      <c r="W112" s="7" t="n">
        <v>42</v>
      </c>
      <c r="X112" s="7" t="n">
        <v>21</v>
      </c>
      <c r="Y112" s="9" t="n">
        <v>0.95</v>
      </c>
      <c r="Z112" s="10">
        <f>SUM(U2:X2)*Y2</f>
        <v/>
      </c>
      <c r="AA112" s="7" t="inlineStr"/>
      <c r="AB112" s="7" t="inlineStr"/>
      <c r="AC112" s="7" t="inlineStr">
        <is>
          <t>06/18/2026 16:39</t>
        </is>
      </c>
      <c r="AD112" s="7" t="inlineStr">
        <is>
          <t>811306.pdf</t>
        </is>
      </c>
    </row>
  </sheetData>
  <conditionalFormatting sqref="A2:AD5000">
    <cfRule type="expression" priority="1" dxfId="0">
      <formula>AND($B2&lt;&gt;"",$E2&lt;&gt;"Completed",$E2&lt;&gt;"Move for Completion",$B2-TODAY()&lt;=4)</formula>
    </cfRule>
    <cfRule type="expression" priority="2" dxfId="1">
      <formula>$E2="Duplicate"</formula>
    </cfRule>
    <cfRule type="expression" priority="3" dxfId="2">
      <formula>OR($E2="Completed",$E2="Move for Completion")</formula>
    </cfRule>
    <cfRule type="expression" priority="13" dxfId="0">
      <formula>AND($B2&lt;&gt;"",$E2&lt;&gt;"Completed",$E2&lt;&gt;"Move for Completion",$B2-TODAY()&lt;=4)</formula>
    </cfRule>
    <cfRule type="expression" priority="14" dxfId="1">
      <formula>$E2="Duplicate"</formula>
    </cfRule>
    <cfRule type="expression" priority="15" dxfId="2">
      <formula>OR($E2="Completed",$E2="Move for Completion")</formula>
    </cfRule>
    <cfRule type="expression" priority="25" dxfId="0">
      <formula>AND($B2&lt;&gt;"",$E2&lt;&gt;"Completed",$E2&lt;&gt;"Move for Completion",$B2-TODAY()&lt;=4)</formula>
    </cfRule>
    <cfRule type="expression" priority="26" dxfId="1">
      <formula>$E2="Duplicate"</formula>
    </cfRule>
    <cfRule type="expression" priority="27" dxfId="2">
      <formula>OR($E2="Completed",$E2="Move for Completion")</formula>
    </cfRule>
    <cfRule type="expression" priority="37" dxfId="0">
      <formula>AND($B2&lt;&gt;"",$E2&lt;&gt;"Completed",$E2&lt;&gt;"Move for Completion",$B2-TODAY()&lt;=4)</formula>
    </cfRule>
    <cfRule type="expression" priority="38" dxfId="1">
      <formula>$E2="Duplicate"</formula>
    </cfRule>
    <cfRule type="expression" priority="39" dxfId="2">
      <formula>OR($E2="Completed",$E2="Move for Completion")</formula>
    </cfRule>
    <cfRule type="expression" priority="49" dxfId="0">
      <formula>AND($B2&lt;&gt;"",$E2&lt;&gt;"Completed",$E2&lt;&gt;"Move for Completion",$B2-TODAY()&lt;=4)</formula>
    </cfRule>
    <cfRule type="expression" priority="50" dxfId="1">
      <formula>$E2="Duplicate"</formula>
    </cfRule>
    <cfRule type="expression" priority="51" dxfId="2">
      <formula>OR($E2="Completed",$E2="Move for Completion")</formula>
    </cfRule>
    <cfRule type="expression" priority="61" dxfId="0">
      <formula>AND($B2&lt;&gt;"",$E2&lt;&gt;"Completed",$E2&lt;&gt;"Move for Completion",$B2-TODAY()&lt;=4)</formula>
    </cfRule>
    <cfRule type="expression" priority="62" dxfId="1">
      <formula>$E2="Duplicate"</formula>
    </cfRule>
    <cfRule type="expression" priority="63" dxfId="2">
      <formula>OR($E2="Completed",$E2="Move for Completion")</formula>
    </cfRule>
    <cfRule type="expression" priority="73" dxfId="0">
      <formula>AND($B2&lt;&gt;"",$E2&lt;&gt;"Completed",$E2&lt;&gt;"Move for Completion",$B2-TODAY()&lt;=4)</formula>
    </cfRule>
    <cfRule type="expression" priority="74" dxfId="1">
      <formula>$E2="Duplicate"</formula>
    </cfRule>
    <cfRule type="expression" priority="75" dxfId="2">
      <formula>OR($E2="Completed",$E2="Move for Completion")</formula>
    </cfRule>
    <cfRule type="expression" priority="85" dxfId="0">
      <formula>AND($B2&lt;&gt;"",$E2&lt;&gt;"Completed",$E2&lt;&gt;"Move for Completion",$B2-TODAY()&lt;=4)</formula>
    </cfRule>
    <cfRule type="expression" priority="86" dxfId="1">
      <formula>$E2="Duplicate"</formula>
    </cfRule>
    <cfRule type="expression" priority="87" dxfId="2">
      <formula>OR($E2="Completed",$E2="Move for Completion")</formula>
    </cfRule>
    <cfRule type="expression" priority="97" dxfId="0">
      <formula>AND($B2&lt;&gt;"",$E2&lt;&gt;"Completed",$E2&lt;&gt;"Move for Completion",$B2-TODAY()&lt;=4)</formula>
    </cfRule>
    <cfRule type="expression" priority="98" dxfId="1">
      <formula>$E2="Duplicate"</formula>
    </cfRule>
    <cfRule type="expression" priority="99" dxfId="2">
      <formula>OR($E2="Completed",$E2="Move for Completion")</formula>
    </cfRule>
    <cfRule type="expression" priority="109" dxfId="0">
      <formula>AND($B2&lt;&gt;"",$E2&lt;&gt;"Completed",$E2&lt;&gt;"Move for Completion",$B2-TODAY()&lt;=4)</formula>
    </cfRule>
    <cfRule type="expression" priority="110" dxfId="1">
      <formula>$E2="Duplicate"</formula>
    </cfRule>
    <cfRule type="expression" priority="111" dxfId="2">
      <formula>OR($E2="Completed",$E2="Move for Completion")</formula>
    </cfRule>
    <cfRule type="expression" priority="121" dxfId="0">
      <formula>AND($B2&lt;&gt;"",$E2&lt;&gt;"Completed",$E2&lt;&gt;"Move for Completion",$B2-TODAY()&lt;=4)</formula>
    </cfRule>
    <cfRule type="expression" priority="122" dxfId="1">
      <formula>$E2="Duplicate"</formula>
    </cfRule>
    <cfRule type="expression" priority="123" dxfId="2">
      <formula>OR($E2="Completed",$E2="Move for Completion")</formula>
    </cfRule>
    <cfRule type="expression" priority="133" dxfId="0">
      <formula>AND($B2&lt;&gt;"",$E2&lt;&gt;"Completed",$E2&lt;&gt;"Move for Completion",$B2-TODAY()&lt;=4)</formula>
    </cfRule>
    <cfRule type="expression" priority="134" dxfId="1">
      <formula>$E2="Duplicate"</formula>
    </cfRule>
    <cfRule type="expression" priority="135" dxfId="2">
      <formula>OR($E2="Completed",$E2="Move for Completion")</formula>
    </cfRule>
    <cfRule type="expression" priority="145" dxfId="0">
      <formula>AND($B2&lt;&gt;"",$E2&lt;&gt;"Completed",$E2&lt;&gt;"Move for Completion",$B2-TODAY()&lt;=4)</formula>
    </cfRule>
    <cfRule type="expression" priority="146" dxfId="1">
      <formula>$E2="Duplicate"</formula>
    </cfRule>
    <cfRule type="expression" priority="147" dxfId="2">
      <formula>OR($E2="Completed",$E2="Move for Completion")</formula>
    </cfRule>
    <cfRule type="expression" priority="157" dxfId="0">
      <formula>AND($B2&lt;&gt;"",$E2&lt;&gt;"Completed",$E2&lt;&gt;"Move for Completion",$B2-TODAY()&lt;=4)</formula>
    </cfRule>
    <cfRule type="expression" priority="158" dxfId="1">
      <formula>$E2="Duplicate"</formula>
    </cfRule>
    <cfRule type="expression" priority="159" dxfId="2">
      <formula>OR($E2="Completed",$E2="Move for Completion")</formula>
    </cfRule>
    <cfRule type="expression" priority="169" dxfId="0">
      <formula>AND($B2&lt;&gt;"",$E2&lt;&gt;"Completed",$E2&lt;&gt;"Move for Completion",$B2-TODAY()&lt;=4)</formula>
    </cfRule>
    <cfRule type="expression" priority="170" dxfId="1">
      <formula>$E2="Duplicate"</formula>
    </cfRule>
    <cfRule type="expression" priority="171" dxfId="2">
      <formula>OR($E2="Completed",$E2="Move for Completion")</formula>
    </cfRule>
    <cfRule type="expression" priority="181" dxfId="0">
      <formula>AND($B2&lt;&gt;"",$E2&lt;&gt;"Completed",$E2&lt;&gt;"Move for Completion",$B2-TODAY()&lt;=4)</formula>
    </cfRule>
    <cfRule type="expression" priority="182" dxfId="1">
      <formula>$E2="Duplicate"</formula>
    </cfRule>
    <cfRule type="expression" priority="183" dxfId="2">
      <formula>OR($E2="Completed",$E2="Move for Completion")</formula>
    </cfRule>
    <cfRule type="expression" priority="193" dxfId="0">
      <formula>AND($B2&lt;&gt;"",$E2&lt;&gt;"Completed",$E2&lt;&gt;"Move for Completion",$B2-TODAY()&lt;=4)</formula>
    </cfRule>
    <cfRule type="expression" priority="194" dxfId="1">
      <formula>$E2="Duplicate"</formula>
    </cfRule>
    <cfRule type="expression" priority="195" dxfId="2">
      <formula>OR($E2="Completed",$E2="Move for Completion")</formula>
    </cfRule>
    <cfRule type="expression" priority="205" dxfId="0">
      <formula>AND($B2&lt;&gt;"",$E2&lt;&gt;"Completed",$E2&lt;&gt;"Move for Completion",$B2-TODAY()&lt;=4)</formula>
    </cfRule>
    <cfRule type="expression" priority="206" dxfId="1">
      <formula>$E2="Duplicate"</formula>
    </cfRule>
    <cfRule type="expression" priority="207" dxfId="2">
      <formula>OR($E2="Completed",$E2="Move for Completion")</formula>
    </cfRule>
    <cfRule type="expression" priority="217" dxfId="0">
      <formula>AND($B2&lt;&gt;"",$E2&lt;&gt;"Completed",$E2&lt;&gt;"Move for Completion",$B2-TODAY()&lt;=4)</formula>
    </cfRule>
    <cfRule type="expression" priority="218" dxfId="1">
      <formula>$E2="Duplicate"</formula>
    </cfRule>
    <cfRule type="expression" priority="219" dxfId="2">
      <formula>OR($E2="Completed",$E2="Move for Completion")</formula>
    </cfRule>
    <cfRule type="expression" priority="229" dxfId="0">
      <formula>AND($B2&lt;&gt;"",$E2&lt;&gt;"Completed",$E2&lt;&gt;"Move for Completion",$B2-TODAY()&lt;=4)</formula>
    </cfRule>
    <cfRule type="expression" priority="230" dxfId="1">
      <formula>$E2="Duplicate"</formula>
    </cfRule>
    <cfRule type="expression" priority="231" dxfId="2">
      <formula>OR($E2="Completed",$E2="Move for Completion")</formula>
    </cfRule>
    <cfRule type="expression" priority="241" dxfId="0">
      <formula>AND($B2&lt;&gt;"",$E2&lt;&gt;"Completed",$E2&lt;&gt;"Move for Completion",$B2-TODAY()&lt;=4)</formula>
    </cfRule>
    <cfRule type="expression" priority="242" dxfId="1">
      <formula>$E2="Duplicate"</formula>
    </cfRule>
    <cfRule type="expression" priority="243" dxfId="2">
      <formula>OR($E2="Completed",$E2="Move for Completion")</formula>
    </cfRule>
    <cfRule type="expression" priority="253" dxfId="0">
      <formula>AND($B2&lt;&gt;"",$E2&lt;&gt;"Completed",$E2&lt;&gt;"Move for Completion",$B2-TODAY()&lt;=4)</formula>
    </cfRule>
    <cfRule type="expression" priority="254" dxfId="1">
      <formula>$E2="Duplicate"</formula>
    </cfRule>
    <cfRule type="expression" priority="255" dxfId="2">
      <formula>OR($E2="Completed",$E2="Move for Completion")</formula>
    </cfRule>
    <cfRule type="expression" priority="265" dxfId="0">
      <formula>AND($B2&lt;&gt;"",$E2&lt;&gt;"Completed",$E2&lt;&gt;"Move for Completion",$B2-TODAY()&lt;=4)</formula>
    </cfRule>
    <cfRule type="expression" priority="266" dxfId="1">
      <formula>$E2="Duplicate"</formula>
    </cfRule>
    <cfRule type="expression" priority="267" dxfId="2">
      <formula>OR($E2="Completed",$E2="Move for Completion")</formula>
    </cfRule>
    <cfRule type="expression" priority="277" dxfId="0">
      <formula>AND($B2&lt;&gt;"",$E2&lt;&gt;"Completed",$E2&lt;&gt;"Move for Completion",$B2-TODAY()&lt;=4)</formula>
    </cfRule>
    <cfRule type="expression" priority="278" dxfId="1">
      <formula>$E2="Duplicate"</formula>
    </cfRule>
    <cfRule type="expression" priority="279" dxfId="2">
      <formula>OR($E2="Completed",$E2="Move for Completion")</formula>
    </cfRule>
    <cfRule type="expression" priority="289" dxfId="0">
      <formula>AND($B2&lt;&gt;"",$E2&lt;&gt;"Completed",$E2&lt;&gt;"Move for Completion",$B2-TODAY()&lt;=4)</formula>
    </cfRule>
    <cfRule type="expression" priority="290" dxfId="1">
      <formula>$E2="Duplicate"</formula>
    </cfRule>
    <cfRule type="expression" priority="291" dxfId="2">
      <formula>OR($E2="Completed",$E2="Move for Completion")</formula>
    </cfRule>
    <cfRule type="expression" priority="301" dxfId="0">
      <formula>AND($B2&lt;&gt;"",$E2&lt;&gt;"Completed",$E2&lt;&gt;"Move for Completion",$B2-TODAY()&lt;=4)</formula>
    </cfRule>
    <cfRule type="expression" priority="302" dxfId="1">
      <formula>$E2="Duplicate"</formula>
    </cfRule>
    <cfRule type="expression" priority="303" dxfId="2">
      <formula>OR($E2="Completed",$E2="Move for Completion")</formula>
    </cfRule>
    <cfRule type="expression" priority="313" dxfId="0">
      <formula>AND($B2&lt;&gt;"",$E2&lt;&gt;"Completed",$E2&lt;&gt;"Move for Completion",$B2-TODAY()&lt;=4)</formula>
    </cfRule>
    <cfRule type="expression" priority="314" dxfId="1">
      <formula>$E2="Duplicate"</formula>
    </cfRule>
    <cfRule type="expression" priority="315" dxfId="2">
      <formula>OR($E2="Completed",$E2="Move for Completion")</formula>
    </cfRule>
    <cfRule type="expression" priority="325" dxfId="0">
      <formula>AND($B2&lt;&gt;"",$E2&lt;&gt;"Completed",$E2&lt;&gt;"Move for Completion",$B2-TODAY()&lt;=4)</formula>
    </cfRule>
    <cfRule type="expression" priority="326" dxfId="1">
      <formula>$E2="Duplicate"</formula>
    </cfRule>
    <cfRule type="expression" priority="327" dxfId="2">
      <formula>OR($E2="Completed",$E2="Move for Completion")</formula>
    </cfRule>
    <cfRule type="expression" priority="337" dxfId="0">
      <formula>AND($B2&lt;&gt;"",$E2&lt;&gt;"Completed",$E2&lt;&gt;"Move for Completion",$B2-TODAY()&lt;=4)</formula>
    </cfRule>
    <cfRule type="expression" priority="338" dxfId="1">
      <formula>$E2="Duplicate"</formula>
    </cfRule>
    <cfRule type="expression" priority="339" dxfId="2">
      <formula>OR($E2="Completed",$E2="Move for Completion")</formula>
    </cfRule>
    <cfRule type="expression" priority="349" dxfId="0">
      <formula>AND($B2&lt;&gt;"",$E2&lt;&gt;"Completed",$E2&lt;&gt;"Move for Completion",$B2-TODAY()&lt;=4)</formula>
    </cfRule>
    <cfRule type="expression" priority="350" dxfId="1">
      <formula>$E2="Duplicate"</formula>
    </cfRule>
    <cfRule type="expression" priority="351" dxfId="2">
      <formula>OR($E2="Completed",$E2="Move for Completion")</formula>
    </cfRule>
    <cfRule type="expression" priority="361" dxfId="0">
      <formula>AND($B2&lt;&gt;"",$E2&lt;&gt;"Completed",$E2&lt;&gt;"Move for Completion",$B2-TODAY()&lt;=4)</formula>
    </cfRule>
    <cfRule type="expression" priority="362" dxfId="1">
      <formula>$E2="Duplicate"</formula>
    </cfRule>
    <cfRule type="expression" priority="363" dxfId="2">
      <formula>OR($E2="Completed",$E2="Move for Completion")</formula>
    </cfRule>
    <cfRule type="expression" priority="373" dxfId="0">
      <formula>AND($B2&lt;&gt;"",$E2&lt;&gt;"Completed",$E2&lt;&gt;"Move for Completion",$B2-TODAY()&lt;=4)</formula>
    </cfRule>
    <cfRule type="expression" priority="374" dxfId="1">
      <formula>$E2="Duplicate"</formula>
    </cfRule>
    <cfRule type="expression" priority="375" dxfId="2">
      <formula>OR($E2="Completed",$E2="Move for Completion")</formula>
    </cfRule>
    <cfRule type="expression" priority="385" dxfId="0">
      <formula>AND($B2&lt;&gt;"",$E2&lt;&gt;"Completed",$E2&lt;&gt;"Move for Completion",$B2-TODAY()&lt;=4)</formula>
    </cfRule>
    <cfRule type="expression" priority="386" dxfId="1">
      <formula>$E2="Duplicate"</formula>
    </cfRule>
    <cfRule type="expression" priority="387" dxfId="2">
      <formula>OR($E2="Completed",$E2="Move for Completion")</formula>
    </cfRule>
    <cfRule type="expression" priority="397" dxfId="0">
      <formula>AND($B2&lt;&gt;"",$E2&lt;&gt;"Completed",$E2&lt;&gt;"Move for Completion",$B2-TODAY()&lt;=4)</formula>
    </cfRule>
    <cfRule type="expression" priority="398" dxfId="1">
      <formula>$E2="Duplicate"</formula>
    </cfRule>
    <cfRule type="expression" priority="399" dxfId="2">
      <formula>OR($E2="Completed",$E2="Move for Completion")</formula>
    </cfRule>
    <cfRule type="expression" priority="409" dxfId="0">
      <formula>AND($B2&lt;&gt;"",$E2&lt;&gt;"Completed",$E2&lt;&gt;"Move for Completion",$B2-TODAY()&lt;=4)</formula>
    </cfRule>
    <cfRule type="expression" priority="410" dxfId="1">
      <formula>$E2="Duplicate"</formula>
    </cfRule>
    <cfRule type="expression" priority="411" dxfId="2">
      <formula>OR($E2="Completed",$E2="Move for Completion")</formula>
    </cfRule>
    <cfRule type="expression" priority="421" dxfId="0">
      <formula>AND($B2&lt;&gt;"",$E2&lt;&gt;"Completed",$E2&lt;&gt;"Move for Completion",$B2-TODAY()&lt;=4)</formula>
    </cfRule>
    <cfRule type="expression" priority="422" dxfId="1">
      <formula>$E2="Duplicate"</formula>
    </cfRule>
    <cfRule type="expression" priority="423" dxfId="2">
      <formula>OR($E2="Completed",$E2="Move for Completion")</formula>
    </cfRule>
    <cfRule type="expression" priority="433" dxfId="0">
      <formula>AND($B2&lt;&gt;"",$E2&lt;&gt;"Completed",$E2&lt;&gt;"Move for Completion",$B2-TODAY()&lt;=4)</formula>
    </cfRule>
    <cfRule type="expression" priority="434" dxfId="1">
      <formula>$E2="Duplicate"</formula>
    </cfRule>
    <cfRule type="expression" priority="435" dxfId="2">
      <formula>OR($E2="Completed",$E2="Move for Completion")</formula>
    </cfRule>
    <cfRule type="expression" priority="445" dxfId="0">
      <formula>AND($B2&lt;&gt;"",$E2&lt;&gt;"Completed",$E2&lt;&gt;"Move for Completion",$B2-TODAY()&lt;=4)</formula>
    </cfRule>
    <cfRule type="expression" priority="446" dxfId="1">
      <formula>$E2="Duplicate"</formula>
    </cfRule>
    <cfRule type="expression" priority="447" dxfId="2">
      <formula>OR($E2="Completed",$E2="Move for Completion")</formula>
    </cfRule>
    <cfRule type="expression" priority="457" dxfId="0">
      <formula>AND($B2&lt;&gt;"",$E2&lt;&gt;"Completed",$E2&lt;&gt;"Move for Completion",$B2-TODAY()&lt;=4)</formula>
    </cfRule>
    <cfRule type="expression" priority="458" dxfId="1">
      <formula>$E2="Duplicate"</formula>
    </cfRule>
    <cfRule type="expression" priority="459" dxfId="2">
      <formula>OR($E2="Completed",$E2="Move for Completion")</formula>
    </cfRule>
    <cfRule type="expression" priority="469" dxfId="0">
      <formula>AND($B2&lt;&gt;"",$E2&lt;&gt;"Completed",$E2&lt;&gt;"Move for Completion",$B2-TODAY()&lt;=4)</formula>
    </cfRule>
    <cfRule type="expression" priority="470" dxfId="1">
      <formula>$E2="Duplicate"</formula>
    </cfRule>
    <cfRule type="expression" priority="471" dxfId="2">
      <formula>OR($E2="Completed",$E2="Move for Completion")</formula>
    </cfRule>
    <cfRule type="expression" priority="481" dxfId="0">
      <formula>AND($B2&lt;&gt;"",$E2&lt;&gt;"Completed",$E2&lt;&gt;"Move for Completion",$B2-TODAY()&lt;=4)</formula>
    </cfRule>
    <cfRule type="expression" priority="482" dxfId="1">
      <formula>$E2="Duplicate"</formula>
    </cfRule>
    <cfRule type="expression" priority="483" dxfId="2">
      <formula>OR($E2="Completed",$E2="Move for Completion")</formula>
    </cfRule>
    <cfRule type="expression" priority="493" dxfId="0">
      <formula>AND($B2&lt;&gt;"",$E2&lt;&gt;"Completed",$E2&lt;&gt;"Move for Completion",$B2-TODAY()&lt;=4)</formula>
    </cfRule>
    <cfRule type="expression" priority="494" dxfId="1">
      <formula>$E2="Duplicate"</formula>
    </cfRule>
    <cfRule type="expression" priority="495" dxfId="2">
      <formula>OR($E2="Completed",$E2="Move for Completion")</formula>
    </cfRule>
    <cfRule type="expression" priority="505" dxfId="0">
      <formula>AND($B2&lt;&gt;"",$E2&lt;&gt;"Completed",$E2&lt;&gt;"Move for Completion",$B2-TODAY()&lt;=4)</formula>
    </cfRule>
    <cfRule type="expression" priority="506" dxfId="1">
      <formula>$E2="Duplicate"</formula>
    </cfRule>
    <cfRule type="expression" priority="507" dxfId="2">
      <formula>OR($E2="Completed",$E2="Move for Completion")</formula>
    </cfRule>
    <cfRule type="expression" priority="517" dxfId="0">
      <formula>AND($B2&lt;&gt;"",$E2&lt;&gt;"Completed",$E2&lt;&gt;"Move for Completion",$B2-TODAY()&lt;=4)</formula>
    </cfRule>
    <cfRule type="expression" priority="518" dxfId="1">
      <formula>$E2="Duplicate"</formula>
    </cfRule>
    <cfRule type="expression" priority="519" dxfId="2">
      <formula>OR($E2="Completed",$E2="Move for Completion")</formula>
    </cfRule>
    <cfRule type="expression" priority="529" dxfId="0">
      <formula>AND($B2&lt;&gt;"",$E2&lt;&gt;"Completed",$E2&lt;&gt;"Move for Completion",$B2-TODAY()&lt;=4)</formula>
    </cfRule>
    <cfRule type="expression" priority="530" dxfId="1">
      <formula>$E2="Duplicate"</formula>
    </cfRule>
    <cfRule type="expression" priority="531" dxfId="2">
      <formula>OR($E2="Completed",$E2="Move for Completion")</formula>
    </cfRule>
    <cfRule type="expression" priority="541" dxfId="0">
      <formula>AND($B2&lt;&gt;"",$E2&lt;&gt;"Completed",$E2&lt;&gt;"Move for Completion",$B2-TODAY()&lt;=4)</formula>
    </cfRule>
    <cfRule type="expression" priority="542" dxfId="1">
      <formula>$E2="Duplicate"</formula>
    </cfRule>
    <cfRule type="expression" priority="543" dxfId="2">
      <formula>OR($E2="Completed",$E2="Move for Completion")</formula>
    </cfRule>
    <cfRule type="expression" priority="553" dxfId="0">
      <formula>AND($B2&lt;&gt;"",$E2&lt;&gt;"Completed",$E2&lt;&gt;"Move for Completion",$B2-TODAY()&lt;=4)</formula>
    </cfRule>
    <cfRule type="expression" priority="554" dxfId="1">
      <formula>$E2="Duplicate"</formula>
    </cfRule>
    <cfRule type="expression" priority="555" dxfId="2">
      <formula>OR($E2="Completed",$E2="Move for Completion")</formula>
    </cfRule>
    <cfRule type="expression" priority="565" dxfId="0">
      <formula>AND($B2&lt;&gt;"",$E2&lt;&gt;"Completed",$E2&lt;&gt;"Move for Completion",$B2-TODAY()&lt;=4)</formula>
    </cfRule>
    <cfRule type="expression" priority="566" dxfId="1">
      <formula>$E2="Duplicate"</formula>
    </cfRule>
    <cfRule type="expression" priority="567" dxfId="2">
      <formula>OR($E2="Completed",$E2="Move for Completion")</formula>
    </cfRule>
    <cfRule type="expression" priority="577" dxfId="0">
      <formula>AND($B2&lt;&gt;"",$E2&lt;&gt;"Completed",$E2&lt;&gt;"Move for Completion",$B2-TODAY()&lt;=4)</formula>
    </cfRule>
    <cfRule type="expression" priority="578" dxfId="1">
      <formula>$E2="Duplicate"</formula>
    </cfRule>
    <cfRule type="expression" priority="579" dxfId="2">
      <formula>OR($E2="Completed",$E2="Move for Completion")</formula>
    </cfRule>
    <cfRule type="expression" priority="589" dxfId="0">
      <formula>AND($B2&lt;&gt;"",$E2&lt;&gt;"Completed",$E2&lt;&gt;"Move for Completion",$B2-TODAY()&lt;=4)</formula>
    </cfRule>
    <cfRule type="expression" priority="590" dxfId="1">
      <formula>$E2="Duplicate"</formula>
    </cfRule>
    <cfRule type="expression" priority="591" dxfId="2">
      <formula>OR($E2="Completed",$E2="Move for Completion")</formula>
    </cfRule>
    <cfRule type="expression" priority="601" dxfId="0">
      <formula>AND($B2&lt;&gt;"",$E2&lt;&gt;"Completed",$E2&lt;&gt;"Move for Completion",$B2-TODAY()&lt;=4)</formula>
    </cfRule>
    <cfRule type="expression" priority="602" dxfId="1">
      <formula>$E2="Duplicate"</formula>
    </cfRule>
    <cfRule type="expression" priority="603" dxfId="2">
      <formula>OR($E2="Completed",$E2="Move for Completion")</formula>
    </cfRule>
    <cfRule type="expression" priority="613" dxfId="0">
      <formula>AND($B2&lt;&gt;"",$E2&lt;&gt;"Completed",$E2&lt;&gt;"Move for Completion",$B2-TODAY()&lt;=4)</formula>
    </cfRule>
    <cfRule type="expression" priority="614" dxfId="1">
      <formula>$E2="Duplicate"</formula>
    </cfRule>
    <cfRule type="expression" priority="615" dxfId="2">
      <formula>OR($E2="Completed",$E2="Move for Completion")</formula>
    </cfRule>
    <cfRule type="expression" priority="625" dxfId="0">
      <formula>AND($B2&lt;&gt;"",$E2&lt;&gt;"Completed",$E2&lt;&gt;"Move for Completion",$B2-TODAY()&lt;=4)</formula>
    </cfRule>
    <cfRule type="expression" priority="626" dxfId="1">
      <formula>$E2="Duplicate"</formula>
    </cfRule>
    <cfRule type="expression" priority="627" dxfId="2">
      <formula>OR($E2="Completed",$E2="Move for Completion")</formula>
    </cfRule>
    <cfRule type="expression" priority="637" dxfId="0">
      <formula>AND($B2&lt;&gt;"",$E2&lt;&gt;"Completed",$E2&lt;&gt;"Move for Completion",$B2-TODAY()&lt;=4)</formula>
    </cfRule>
    <cfRule type="expression" priority="638" dxfId="1">
      <formula>$E2="Duplicate"</formula>
    </cfRule>
    <cfRule type="expression" priority="639" dxfId="2">
      <formula>OR($E2="Completed",$E2="Move for Completion")</formula>
    </cfRule>
    <cfRule type="expression" priority="649" dxfId="0">
      <formula>AND($B2&lt;&gt;"",$E2&lt;&gt;"Completed",$E2&lt;&gt;"Move for Completion",$B2-TODAY()&lt;=4)</formula>
    </cfRule>
    <cfRule type="expression" priority="650" dxfId="1">
      <formula>$E2="Duplicate"</formula>
    </cfRule>
    <cfRule type="expression" priority="651" dxfId="2">
      <formula>OR($E2="Completed",$E2="Move for Completion")</formula>
    </cfRule>
    <cfRule type="expression" priority="661" dxfId="0">
      <formula>AND($B2&lt;&gt;"",$E2&lt;&gt;"Completed",$E2&lt;&gt;"Move for Completion",$B2-TODAY()&lt;=4)</formula>
    </cfRule>
    <cfRule type="expression" priority="662" dxfId="1">
      <formula>$E2="Duplicate"</formula>
    </cfRule>
    <cfRule type="expression" priority="663" dxfId="2">
      <formula>OR($E2="Completed",$E2="Move for Completion")</formula>
    </cfRule>
    <cfRule type="expression" priority="673" dxfId="0">
      <formula>AND($B2&lt;&gt;"",$E2&lt;&gt;"Completed",$E2&lt;&gt;"Move for Completion",$B2-TODAY()&lt;=4)</formula>
    </cfRule>
    <cfRule type="expression" priority="674" dxfId="1">
      <formula>$E2="Duplicate"</formula>
    </cfRule>
    <cfRule type="expression" priority="675" dxfId="2">
      <formula>OR($E2="Completed",$E2="Move for Completion")</formula>
    </cfRule>
    <cfRule type="expression" priority="685" dxfId="0">
      <formula>AND($B2&lt;&gt;"",$E2&lt;&gt;"Completed",$E2&lt;&gt;"Move for Completion",$B2-TODAY()&lt;=4)</formula>
    </cfRule>
    <cfRule type="expression" priority="686" dxfId="1">
      <formula>$E2="Duplicate"</formula>
    </cfRule>
    <cfRule type="expression" priority="687" dxfId="2">
      <formula>OR($E2="Completed",$E2="Move for Completion")</formula>
    </cfRule>
    <cfRule type="expression" priority="697" dxfId="0">
      <formula>AND($B2&lt;&gt;"",$E2&lt;&gt;"Completed",$E2&lt;&gt;"Move for Completion",$B2-TODAY()&lt;=4)</formula>
    </cfRule>
    <cfRule type="expression" priority="698" dxfId="1">
      <formula>$E2="Duplicate"</formula>
    </cfRule>
    <cfRule type="expression" priority="699" dxfId="2">
      <formula>OR($E2="Completed",$E2="Move for Completion")</formula>
    </cfRule>
    <cfRule type="expression" priority="709" dxfId="0">
      <formula>AND($B2&lt;&gt;"",$E2&lt;&gt;"Completed",$E2&lt;&gt;"Move for Completion",$B2-TODAY()&lt;=4)</formula>
    </cfRule>
    <cfRule type="expression" priority="710" dxfId="1">
      <formula>$E2="Duplicate"</formula>
    </cfRule>
    <cfRule type="expression" priority="711" dxfId="2">
      <formula>OR($E2="Completed",$E2="Move for Completion")</formula>
    </cfRule>
    <cfRule type="expression" priority="721" dxfId="0">
      <formula>AND($B2&lt;&gt;"",$E2&lt;&gt;"Completed",$E2&lt;&gt;"Move for Completion",$B2-TODAY()&lt;=4)</formula>
    </cfRule>
    <cfRule type="expression" priority="722" dxfId="1">
      <formula>$E2="Duplicate"</formula>
    </cfRule>
    <cfRule type="expression" priority="723" dxfId="2">
      <formula>OR($E2="Completed",$E2="Move for Completion")</formula>
    </cfRule>
    <cfRule type="expression" priority="733" dxfId="0">
      <formula>AND($B2&lt;&gt;"",$E2&lt;&gt;"Completed",$E2&lt;&gt;"Move for Completion",$B2-TODAY()&lt;=4)</formula>
    </cfRule>
    <cfRule type="expression" priority="734" dxfId="1">
      <formula>$E2="Duplicate"</formula>
    </cfRule>
    <cfRule type="expression" priority="735" dxfId="2">
      <formula>OR($E2="Completed",$E2="Move for Completion")</formula>
    </cfRule>
    <cfRule type="expression" priority="745" dxfId="0">
      <formula>AND($B2&lt;&gt;"",$E2&lt;&gt;"Completed",$E2&lt;&gt;"Move for Completion",$B2-TODAY()&lt;=4)</formula>
    </cfRule>
    <cfRule type="expression" priority="746" dxfId="1">
      <formula>$E2="Duplicate"</formula>
    </cfRule>
    <cfRule type="expression" priority="747" dxfId="2">
      <formula>OR($E2="Completed",$E2="Move for Completion")</formula>
    </cfRule>
    <cfRule type="expression" priority="757" dxfId="0">
      <formula>AND($B2&lt;&gt;"",$E2&lt;&gt;"Completed",$E2&lt;&gt;"Move for Completion",$B2-TODAY()&lt;=4)</formula>
    </cfRule>
    <cfRule type="expression" priority="758" dxfId="1">
      <formula>$E2="Duplicate"</formula>
    </cfRule>
    <cfRule type="expression" priority="759" dxfId="2">
      <formula>OR($E2="Completed",$E2="Move for Completion")</formula>
    </cfRule>
    <cfRule type="expression" priority="769" dxfId="0">
      <formula>AND($B2&lt;&gt;"",$E2&lt;&gt;"Completed",$E2&lt;&gt;"Move for Completion",$B2-TODAY()&lt;=4)</formula>
    </cfRule>
    <cfRule type="expression" priority="770" dxfId="1">
      <formula>$E2="Duplicate"</formula>
    </cfRule>
    <cfRule type="expression" priority="771" dxfId="2">
      <formula>OR($E2="Completed",$E2="Move for Completion")</formula>
    </cfRule>
    <cfRule type="expression" priority="781" dxfId="0">
      <formula>AND($B2&lt;&gt;"",$E2&lt;&gt;"Completed",$E2&lt;&gt;"Move for Completion",$B2-TODAY()&lt;=4)</formula>
    </cfRule>
    <cfRule type="expression" priority="782" dxfId="1">
      <formula>$E2="Duplicate"</formula>
    </cfRule>
    <cfRule type="expression" priority="783" dxfId="2">
      <formula>OR($E2="Completed",$E2="Move for Completion")</formula>
    </cfRule>
    <cfRule type="expression" priority="793" dxfId="0">
      <formula>AND($B2&lt;&gt;"",$E2&lt;&gt;"Completed",$E2&lt;&gt;"Move for Completion",$B2-TODAY()&lt;=4)</formula>
    </cfRule>
    <cfRule type="expression" priority="794" dxfId="1">
      <formula>$E2="Duplicate"</formula>
    </cfRule>
    <cfRule type="expression" priority="795" dxfId="2">
      <formula>OR($E2="Completed",$E2="Move for Completion")</formula>
    </cfRule>
    <cfRule type="expression" priority="805" dxfId="0">
      <formula>AND($B2&lt;&gt;"",$E2&lt;&gt;"Completed",$E2&lt;&gt;"Move for Completion",$B2-TODAY()&lt;=4)</formula>
    </cfRule>
    <cfRule type="expression" priority="806" dxfId="1">
      <formula>$E2="Duplicate"</formula>
    </cfRule>
    <cfRule type="expression" priority="807" dxfId="2">
      <formula>OR($E2="Completed",$E2="Move for Completion")</formula>
    </cfRule>
    <cfRule type="expression" priority="817" dxfId="0">
      <formula>AND($B2&lt;&gt;"",$E2&lt;&gt;"Completed",$E2&lt;&gt;"Move for Completion",$B2-TODAY()&lt;=4)</formula>
    </cfRule>
    <cfRule type="expression" priority="818" dxfId="1">
      <formula>$E2="Duplicate"</formula>
    </cfRule>
    <cfRule type="expression" priority="819" dxfId="2">
      <formula>OR($E2="Completed",$E2="Move for Completion")</formula>
    </cfRule>
    <cfRule type="expression" priority="829" dxfId="0">
      <formula>AND($B2&lt;&gt;"",$E2&lt;&gt;"Completed",$E2&lt;&gt;"Move for Completion",$B2-TODAY()&lt;=4)</formula>
    </cfRule>
    <cfRule type="expression" priority="830" dxfId="1">
      <formula>$E2="Duplicate"</formula>
    </cfRule>
    <cfRule type="expression" priority="831" dxfId="2">
      <formula>OR($E2="Completed",$E2="Move for Completion")</formula>
    </cfRule>
    <cfRule type="expression" priority="841" dxfId="0">
      <formula>AND($B2&lt;&gt;"",$E2&lt;&gt;"Completed",$E2&lt;&gt;"Move for Completion",$B2-TODAY()&lt;=4)</formula>
    </cfRule>
    <cfRule type="expression" priority="842" dxfId="1">
      <formula>$E2="Duplicate"</formula>
    </cfRule>
    <cfRule type="expression" priority="843" dxfId="2">
      <formula>OR($E2="Completed",$E2="Move for Completion")</formula>
    </cfRule>
    <cfRule type="expression" priority="853" dxfId="0">
      <formula>AND($B2&lt;&gt;"",$E2&lt;&gt;"Completed",$E2&lt;&gt;"Move for Completion",$B2-TODAY()&lt;=4)</formula>
    </cfRule>
    <cfRule type="expression" priority="854" dxfId="1">
      <formula>$E2="Duplicate"</formula>
    </cfRule>
    <cfRule type="expression" priority="855" dxfId="2">
      <formula>OR($E2="Completed",$E2="Move for Completion")</formula>
    </cfRule>
    <cfRule type="expression" priority="865" dxfId="0">
      <formula>AND($B2&lt;&gt;"",$E2&lt;&gt;"Completed",$E2&lt;&gt;"Move for Completion",$B2-TODAY()&lt;=4)</formula>
    </cfRule>
    <cfRule type="expression" priority="866" dxfId="1">
      <formula>$E2="Duplicate"</formula>
    </cfRule>
    <cfRule type="expression" priority="867" dxfId="2">
      <formula>OR($E2="Completed",$E2="Move for Completion")</formula>
    </cfRule>
    <cfRule type="expression" priority="877" dxfId="0">
      <formula>AND($B2&lt;&gt;"",$E2&lt;&gt;"Completed",$E2&lt;&gt;"Move for Completion",$B2-TODAY()&lt;=4)</formula>
    </cfRule>
    <cfRule type="expression" priority="878" dxfId="1">
      <formula>$E2="Duplicate"</formula>
    </cfRule>
    <cfRule type="expression" priority="879" dxfId="2">
      <formula>OR($E2="Completed",$E2="Move for Completion")</formula>
    </cfRule>
    <cfRule type="expression" priority="889" dxfId="0">
      <formula>AND($B2&lt;&gt;"",$E2&lt;&gt;"Completed",$E2&lt;&gt;"Move for Completion",$B2-TODAY()&lt;=4)</formula>
    </cfRule>
    <cfRule type="expression" priority="890" dxfId="1">
      <formula>$E2="Duplicate"</formula>
    </cfRule>
    <cfRule type="expression" priority="891" dxfId="2">
      <formula>OR($E2="Completed",$E2="Move for Completion")</formula>
    </cfRule>
    <cfRule type="expression" priority="901" dxfId="0">
      <formula>AND($B2&lt;&gt;"",$E2&lt;&gt;"Completed",$E2&lt;&gt;"Move for Completion",$B2-TODAY()&lt;=4)</formula>
    </cfRule>
    <cfRule type="expression" priority="902" dxfId="1">
      <formula>$E2="Duplicate"</formula>
    </cfRule>
    <cfRule type="expression" priority="903" dxfId="2">
      <formula>OR($E2="Completed",$E2="Move for Completion")</formula>
    </cfRule>
    <cfRule type="expression" priority="913" dxfId="0">
      <formula>AND($B2&lt;&gt;"",$E2&lt;&gt;"Completed",$E2&lt;&gt;"Move for Completion",$B2-TODAY()&lt;=4)</formula>
    </cfRule>
    <cfRule type="expression" priority="914" dxfId="1">
      <formula>$E2="Duplicate"</formula>
    </cfRule>
    <cfRule type="expression" priority="915" dxfId="2">
      <formula>OR($E2="Completed",$E2="Move for Completion")</formula>
    </cfRule>
    <cfRule type="expression" priority="925" dxfId="0">
      <formula>AND($B2&lt;&gt;"",$E2&lt;&gt;"Completed",$E2&lt;&gt;"Move for Completion",$B2-TODAY()&lt;=4)</formula>
    </cfRule>
    <cfRule type="expression" priority="926" dxfId="1">
      <formula>$E2="Duplicate"</formula>
    </cfRule>
    <cfRule type="expression" priority="927" dxfId="2">
      <formula>OR($E2="Completed",$E2="Move for Completion")</formula>
    </cfRule>
    <cfRule type="expression" priority="937" dxfId="0">
      <formula>AND($B2&lt;&gt;"",$E2&lt;&gt;"Completed",$E2&lt;&gt;"Move for Completion",$B2-TODAY()&lt;=4)</formula>
    </cfRule>
    <cfRule type="expression" priority="938" dxfId="1">
      <formula>$E2="Duplicate"</formula>
    </cfRule>
    <cfRule type="expression" priority="939" dxfId="2">
      <formula>OR($E2="Completed",$E2="Move for Completion")</formula>
    </cfRule>
    <cfRule type="expression" priority="949" dxfId="0">
      <formula>AND($B2&lt;&gt;"",$E2&lt;&gt;"Completed",$E2&lt;&gt;"Move for Completion",$B2-TODAY()&lt;=4)</formula>
    </cfRule>
    <cfRule type="expression" priority="950" dxfId="1">
      <formula>$E2="Duplicate"</formula>
    </cfRule>
    <cfRule type="expression" priority="951" dxfId="2">
      <formula>OR($E2="Completed",$E2="Move for Completion")</formula>
    </cfRule>
    <cfRule type="expression" priority="961" dxfId="0">
      <formula>AND($B2&lt;&gt;"",$E2&lt;&gt;"Completed",$E2&lt;&gt;"Move for Completion",$B2-TODAY()&lt;=4)</formula>
    </cfRule>
    <cfRule type="expression" priority="962" dxfId="1">
      <formula>$E2="Duplicate"</formula>
    </cfRule>
    <cfRule type="expression" priority="963" dxfId="2">
      <formula>OR($E2="Completed",$E2="Move for Completion")</formula>
    </cfRule>
    <cfRule type="expression" priority="973" dxfId="0">
      <formula>AND($B2&lt;&gt;"",$E2&lt;&gt;"Completed",$E2&lt;&gt;"Move for Completion",$B2-TODAY()&lt;=4)</formula>
    </cfRule>
    <cfRule type="expression" priority="974" dxfId="1">
      <formula>$E2="Duplicate"</formula>
    </cfRule>
    <cfRule type="expression" priority="975" dxfId="2">
      <formula>OR($E2="Completed",$E2="Move for Completion")</formula>
    </cfRule>
    <cfRule type="expression" priority="985" dxfId="0">
      <formula>AND($B2&lt;&gt;"",$E2&lt;&gt;"Completed",$E2&lt;&gt;"Move for Completion",$B2-TODAY()&lt;=4)</formula>
    </cfRule>
    <cfRule type="expression" priority="986" dxfId="1">
      <formula>$E2="Duplicate"</formula>
    </cfRule>
    <cfRule type="expression" priority="987" dxfId="2">
      <formula>OR($E2="Completed",$E2="Move for Completion")</formula>
    </cfRule>
    <cfRule type="expression" priority="997" dxfId="0">
      <formula>AND($B2&lt;&gt;"",$E2&lt;&gt;"Completed",$E2&lt;&gt;"Move for Completion",$B2-TODAY()&lt;=4)</formula>
    </cfRule>
    <cfRule type="expression" priority="998" dxfId="1">
      <formula>$E2="Duplicate"</formula>
    </cfRule>
    <cfRule type="expression" priority="999" dxfId="2">
      <formula>OR($E2="Completed",$E2="Move for Completion")</formula>
    </cfRule>
    <cfRule type="expression" priority="1009" dxfId="0">
      <formula>AND($B2&lt;&gt;"",$E2&lt;&gt;"Completed",$E2&lt;&gt;"Move for Completion",$B2-TODAY()&lt;=4)</formula>
    </cfRule>
    <cfRule type="expression" priority="1010" dxfId="1">
      <formula>$E2="Duplicate"</formula>
    </cfRule>
    <cfRule type="expression" priority="1011" dxfId="2">
      <formula>OR($E2="Completed",$E2="Move for Completion")</formula>
    </cfRule>
    <cfRule type="expression" priority="1021" dxfId="0">
      <formula>AND($B2&lt;&gt;"",$E2&lt;&gt;"Completed",$E2&lt;&gt;"Move for Completion",$B2-TODAY()&lt;=4)</formula>
    </cfRule>
    <cfRule type="expression" priority="1022" dxfId="1">
      <formula>$E2="Duplicate"</formula>
    </cfRule>
    <cfRule type="expression" priority="1023" dxfId="2">
      <formula>OR($E2="Completed",$E2="Move for Completion")</formula>
    </cfRule>
    <cfRule type="expression" priority="1033" dxfId="0">
      <formula>AND($B2&lt;&gt;"",$E2&lt;&gt;"Completed",$E2&lt;&gt;"Move for Completion",$B2-TODAY()&lt;=4)</formula>
    </cfRule>
    <cfRule type="expression" priority="1034" dxfId="1">
      <formula>$E2="Duplicate"</formula>
    </cfRule>
    <cfRule type="expression" priority="1035" dxfId="2">
      <formula>OR($E2="Completed",$E2="Move for Completion")</formula>
    </cfRule>
    <cfRule type="expression" priority="1045" dxfId="0">
      <formula>AND($B2&lt;&gt;"",$E2&lt;&gt;"Completed",$E2&lt;&gt;"Move for Completion",$B2-TODAY()&lt;=4)</formula>
    </cfRule>
    <cfRule type="expression" priority="1046" dxfId="1">
      <formula>$E2="Duplicate"</formula>
    </cfRule>
    <cfRule type="expression" priority="1047" dxfId="2">
      <formula>OR($E2="Completed",$E2="Move for Completion")</formula>
    </cfRule>
    <cfRule type="expression" priority="1057" dxfId="0">
      <formula>AND($B2&lt;&gt;"",$E2&lt;&gt;"Completed",$E2&lt;&gt;"Move for Completion",$B2-TODAY()&lt;=4)</formula>
    </cfRule>
    <cfRule type="expression" priority="1058" dxfId="1">
      <formula>$E2="Duplicate"</formula>
    </cfRule>
    <cfRule type="expression" priority="1059" dxfId="2">
      <formula>OR($E2="Completed",$E2="Move for Completion")</formula>
    </cfRule>
    <cfRule type="expression" priority="1069" dxfId="0">
      <formula>AND($B2&lt;&gt;"",$E2&lt;&gt;"Completed",$E2&lt;&gt;"Move for Completion",$B2-TODAY()&lt;=4)</formula>
    </cfRule>
    <cfRule type="expression" priority="1070" dxfId="1">
      <formula>$E2="Duplicate"</formula>
    </cfRule>
    <cfRule type="expression" priority="1071" dxfId="2">
      <formula>OR($E2="Completed",$E2="Move for Completion")</formula>
    </cfRule>
    <cfRule type="expression" priority="1081" dxfId="0">
      <formula>AND($B2&lt;&gt;"",$E2&lt;&gt;"Completed",$E2&lt;&gt;"Move for Completion",$B2-TODAY()&lt;=4)</formula>
    </cfRule>
    <cfRule type="expression" priority="1082" dxfId="1">
      <formula>$E2="Duplicate"</formula>
    </cfRule>
    <cfRule type="expression" priority="1083" dxfId="2">
      <formula>OR($E2="Completed",$E2="Move for Completion")</formula>
    </cfRule>
    <cfRule type="expression" priority="1093" dxfId="0">
      <formula>AND($B2&lt;&gt;"",$E2&lt;&gt;"Completed",$E2&lt;&gt;"Move for Completion",$B2-TODAY()&lt;=4)</formula>
    </cfRule>
    <cfRule type="expression" priority="1094" dxfId="1">
      <formula>$E2="Duplicate"</formula>
    </cfRule>
    <cfRule type="expression" priority="1095" dxfId="2">
      <formula>OR($E2="Completed",$E2="Move for Completion")</formula>
    </cfRule>
    <cfRule type="expression" priority="1105" dxfId="0">
      <formula>AND($B2&lt;&gt;"",$E2&lt;&gt;"Completed",$E2&lt;&gt;"Move for Completion",$B2-TODAY()&lt;=4)</formula>
    </cfRule>
    <cfRule type="expression" priority="1106" dxfId="1">
      <formula>$E2="Duplicate"</formula>
    </cfRule>
    <cfRule type="expression" priority="1107" dxfId="2">
      <formula>OR($E2="Completed",$E2="Move for Completion")</formula>
    </cfRule>
    <cfRule type="expression" priority="1117" dxfId="0">
      <formula>AND($B2&lt;&gt;"",$E2&lt;&gt;"Completed",$E2&lt;&gt;"Move for Completion",$B2-TODAY()&lt;=4)</formula>
    </cfRule>
    <cfRule type="expression" priority="1118" dxfId="1">
      <formula>$E2="Duplicate"</formula>
    </cfRule>
    <cfRule type="expression" priority="1119" dxfId="2">
      <formula>OR($E2="Completed",$E2="Move for Completion")</formula>
    </cfRule>
    <cfRule type="expression" priority="1129" dxfId="0">
      <formula>AND($B2&lt;&gt;"",$E2&lt;&gt;"Completed",$E2&lt;&gt;"Move for Completion",$B2-TODAY()&lt;=4)</formula>
    </cfRule>
    <cfRule type="expression" priority="1130" dxfId="1">
      <formula>$E2="Duplicate"</formula>
    </cfRule>
    <cfRule type="expression" priority="1131" dxfId="2">
      <formula>OR($E2="Completed",$E2="Move for Completion")</formula>
    </cfRule>
    <cfRule type="expression" priority="1141" dxfId="0">
      <formula>AND($B2&lt;&gt;"",$E2&lt;&gt;"Completed",$E2&lt;&gt;"Move for Completion",$B2-TODAY()&lt;=4)</formula>
    </cfRule>
    <cfRule type="expression" priority="1142" dxfId="1">
      <formula>$E2="Duplicate"</formula>
    </cfRule>
    <cfRule type="expression" priority="1143" dxfId="2">
      <formula>OR($E2="Completed",$E2="Move for Completion")</formula>
    </cfRule>
    <cfRule type="expression" priority="1153" dxfId="0">
      <formula>AND($B2&lt;&gt;"",$E2&lt;&gt;"Completed",$E2&lt;&gt;"Move for Completion",$B2-TODAY()&lt;=4)</formula>
    </cfRule>
    <cfRule type="expression" priority="1154" dxfId="1">
      <formula>$E2="Duplicate"</formula>
    </cfRule>
    <cfRule type="expression" priority="1155" dxfId="2">
      <formula>OR($E2="Completed",$E2="Move for Completion")</formula>
    </cfRule>
    <cfRule type="expression" priority="1165" dxfId="0">
      <formula>AND($B2&lt;&gt;"",$E2&lt;&gt;"Completed",$E2&lt;&gt;"Move for Completion",$B2-TODAY()&lt;=4)</formula>
    </cfRule>
    <cfRule type="expression" priority="1166" dxfId="1">
      <formula>$E2="Duplicate"</formula>
    </cfRule>
    <cfRule type="expression" priority="1167" dxfId="2">
      <formula>OR($E2="Completed",$E2="Move for Completion")</formula>
    </cfRule>
    <cfRule type="expression" priority="1177" dxfId="0">
      <formula>AND($B2&lt;&gt;"",$E2&lt;&gt;"Completed",$E2&lt;&gt;"Move for Completion",$B2-TODAY()&lt;=4)</formula>
    </cfRule>
    <cfRule type="expression" priority="1178" dxfId="1">
      <formula>$E2="Duplicate"</formula>
    </cfRule>
    <cfRule type="expression" priority="1179" dxfId="2">
      <formula>OR($E2="Completed",$E2="Move for Completion")</formula>
    </cfRule>
    <cfRule type="expression" priority="1189" dxfId="0">
      <formula>AND($B2&lt;&gt;"",$E2&lt;&gt;"Completed",$E2&lt;&gt;"Move for Completion",$B2-TODAY()&lt;=4)</formula>
    </cfRule>
    <cfRule type="expression" priority="1190" dxfId="1">
      <formula>$E2="Duplicate"</formula>
    </cfRule>
    <cfRule type="expression" priority="1191" dxfId="2">
      <formula>OR($E2="Completed",$E2="Move for Completion")</formula>
    </cfRule>
    <cfRule type="expression" priority="1201" dxfId="0">
      <formula>AND($B2&lt;&gt;"",$E2&lt;&gt;"Completed",$E2&lt;&gt;"Move for Completion",$B2-TODAY()&lt;=4)</formula>
    </cfRule>
    <cfRule type="expression" priority="1202" dxfId="1">
      <formula>$E2="Duplicate"</formula>
    </cfRule>
    <cfRule type="expression" priority="1203" dxfId="2">
      <formula>OR($E2="Completed",$E2="Move for Completion")</formula>
    </cfRule>
    <cfRule type="expression" priority="1213" dxfId="0">
      <formula>AND($B2&lt;&gt;"",$E2&lt;&gt;"Completed",$E2&lt;&gt;"Move for Completion",$B2-TODAY()&lt;=4)</formula>
    </cfRule>
    <cfRule type="expression" priority="1214" dxfId="1">
      <formula>$E2="Duplicate"</formula>
    </cfRule>
    <cfRule type="expression" priority="1215" dxfId="2">
      <formula>OR($E2="Completed",$E2="Move for Completion")</formula>
    </cfRule>
    <cfRule type="expression" priority="1225" dxfId="0">
      <formula>AND($B2&lt;&gt;"",$E2&lt;&gt;"Completed",$E2&lt;&gt;"Move for Completion",$B2-TODAY()&lt;=4)</formula>
    </cfRule>
    <cfRule type="expression" priority="1226" dxfId="1">
      <formula>$E2="Duplicate"</formula>
    </cfRule>
    <cfRule type="expression" priority="1227" dxfId="2">
      <formula>OR($E2="Completed",$E2="Move for Completion")</formula>
    </cfRule>
    <cfRule type="expression" priority="1237" dxfId="0">
      <formula>AND($B2&lt;&gt;"",$E2&lt;&gt;"Completed",$E2&lt;&gt;"Move for Completion",$B2-TODAY()&lt;=4)</formula>
    </cfRule>
    <cfRule type="expression" priority="1238" dxfId="1">
      <formula>$E2="Duplicate"</formula>
    </cfRule>
    <cfRule type="expression" priority="1239" dxfId="2">
      <formula>OR($E2="Completed",$E2="Move for Completion")</formula>
    </cfRule>
    <cfRule type="expression" priority="1249" dxfId="0">
      <formula>AND($B2&lt;&gt;"",$E2&lt;&gt;"Completed",$E2&lt;&gt;"Move for Completion",$B2-TODAY()&lt;=4)</formula>
    </cfRule>
    <cfRule type="expression" priority="1250" dxfId="1">
      <formula>$E2="Duplicate"</formula>
    </cfRule>
    <cfRule type="expression" priority="1251" dxfId="2">
      <formula>OR($E2="Completed",$E2="Move for Completion")</formula>
    </cfRule>
    <cfRule type="expression" priority="1261" dxfId="0">
      <formula>AND($B2&lt;&gt;"",$E2&lt;&gt;"Completed",$E2&lt;&gt;"Move for Completion",$B2-TODAY()&lt;=4)</formula>
    </cfRule>
    <cfRule type="expression" priority="1262" dxfId="1">
      <formula>$E2="Duplicate"</formula>
    </cfRule>
    <cfRule type="expression" priority="1263" dxfId="2">
      <formula>OR($E2="Completed",$E2="Move for Completion")</formula>
    </cfRule>
    <cfRule type="expression" priority="1273" dxfId="0">
      <formula>AND($B2&lt;&gt;"",$E2&lt;&gt;"Completed",$E2&lt;&gt;"Move for Completion",$B2-TODAY()&lt;=4)</formula>
    </cfRule>
    <cfRule type="expression" priority="1274" dxfId="1">
      <formula>$E2="Duplicate"</formula>
    </cfRule>
    <cfRule type="expression" priority="1275" dxfId="2">
      <formula>OR($E2="Completed",$E2="Move for Completion")</formula>
    </cfRule>
    <cfRule type="expression" priority="1285" dxfId="0">
      <formula>AND($B2&lt;&gt;"",$E2&lt;&gt;"Completed",$E2&lt;&gt;"Move for Completion",$B2-TODAY()&lt;=4)</formula>
    </cfRule>
    <cfRule type="expression" priority="1286" dxfId="1">
      <formula>$E2="Duplicate"</formula>
    </cfRule>
    <cfRule type="expression" priority="1287" dxfId="2">
      <formula>OR($E2="Completed",$E2="Move for Completion")</formula>
    </cfRule>
    <cfRule type="expression" priority="1297" dxfId="0">
      <formula>AND($B2&lt;&gt;"",$E2&lt;&gt;"Completed",$E2&lt;&gt;"Move for Completion",$B2-TODAY()&lt;=4)</formula>
    </cfRule>
    <cfRule type="expression" priority="1298" dxfId="1">
      <formula>$E2="Duplicate"</formula>
    </cfRule>
    <cfRule type="expression" priority="1299" dxfId="2">
      <formula>OR($E2="Completed",$E2="Move for Completion")</formula>
    </cfRule>
    <cfRule type="expression" priority="1309" dxfId="0">
      <formula>AND($B2&lt;&gt;"",$E2&lt;&gt;"Completed",$E2&lt;&gt;"Move for Completion",$B2-TODAY()&lt;=4)</formula>
    </cfRule>
    <cfRule type="expression" priority="1310" dxfId="1">
      <formula>$E2="Duplicate"</formula>
    </cfRule>
    <cfRule type="expression" priority="1311" dxfId="2">
      <formula>OR($E2="Completed",$E2="Move for Completion")</formula>
    </cfRule>
    <cfRule type="expression" priority="1321" dxfId="0">
      <formula>AND($B2&lt;&gt;"",$E2&lt;&gt;"Completed",$E2&lt;&gt;"Move for Completion",$B2-TODAY()&lt;=4)</formula>
    </cfRule>
    <cfRule type="expression" priority="1322" dxfId="1">
      <formula>$E2="Duplicate"</formula>
    </cfRule>
    <cfRule type="expression" priority="1323" dxfId="2">
      <formula>OR($E2="Completed",$E2="Move for Completion")</formula>
    </cfRule>
    <cfRule type="expression" priority="1333" dxfId="0">
      <formula>AND($B2&lt;&gt;"",$E2&lt;&gt;"Completed",$E2&lt;&gt;"Move for Completion",$B2-TODAY()&lt;=4)</formula>
    </cfRule>
    <cfRule type="expression" priority="1334" dxfId="1">
      <formula>$E2="Duplicate"</formula>
    </cfRule>
    <cfRule type="expression" priority="1335" dxfId="2">
      <formula>OR($E2="Completed",$E2="Move for Completion")</formula>
    </cfRule>
    <cfRule type="expression" priority="1345" dxfId="0">
      <formula>AND($B2&lt;&gt;"",$E2&lt;&gt;"Completed",$E2&lt;&gt;"Move for Completion",$B2-TODAY()&lt;=4)</formula>
    </cfRule>
    <cfRule type="expression" priority="1346" dxfId="1">
      <formula>$E2="Duplicate"</formula>
    </cfRule>
    <cfRule type="expression" priority="1347" dxfId="2">
      <formula>OR($E2="Completed",$E2="Move for Completion")</formula>
    </cfRule>
    <cfRule type="expression" priority="1357" dxfId="0">
      <formula>AND($B2&lt;&gt;"",$E2&lt;&gt;"Completed",$E2&lt;&gt;"Move for Completion",$B2-TODAY()&lt;=4)</formula>
    </cfRule>
    <cfRule type="expression" priority="1358" dxfId="1">
      <formula>$E2="Duplicate"</formula>
    </cfRule>
    <cfRule type="expression" priority="1359" dxfId="2">
      <formula>OR($E2="Completed",$E2="Move for Completion")</formula>
    </cfRule>
    <cfRule type="expression" priority="1369" dxfId="0">
      <formula>AND($B2&lt;&gt;"",$E2&lt;&gt;"Completed",$E2&lt;&gt;"Move for Completion",$B2-TODAY()&lt;=4)</formula>
    </cfRule>
    <cfRule type="expression" priority="1370" dxfId="1">
      <formula>$E2="Duplicate"</formula>
    </cfRule>
    <cfRule type="expression" priority="1371" dxfId="2">
      <formula>OR($E2="Completed",$E2="Move for Completion")</formula>
    </cfRule>
    <cfRule type="expression" priority="1381" dxfId="0">
      <formula>AND($B2&lt;&gt;"",$E2&lt;&gt;"Completed",$E2&lt;&gt;"Move for Completion",$B2-TODAY()&lt;=4)</formula>
    </cfRule>
    <cfRule type="expression" priority="1382" dxfId="1">
      <formula>$E2="Duplicate"</formula>
    </cfRule>
    <cfRule type="expression" priority="1383" dxfId="2">
      <formula>OR($E2="Completed",$E2="Move for Completion")</formula>
    </cfRule>
    <cfRule type="expression" priority="1393" dxfId="0">
      <formula>AND($B2&lt;&gt;"",$E2&lt;&gt;"Completed",$E2&lt;&gt;"Move for Completion",$B2-TODAY()&lt;=4)</formula>
    </cfRule>
    <cfRule type="expression" priority="1394" dxfId="1">
      <formula>$E2="Duplicate"</formula>
    </cfRule>
    <cfRule type="expression" priority="1395" dxfId="2">
      <formula>OR($E2="Completed",$E2="Move for Completion")</formula>
    </cfRule>
    <cfRule type="expression" priority="1405" dxfId="0">
      <formula>AND($B2&lt;&gt;"",$E2&lt;&gt;"Completed",$E2&lt;&gt;"Move for Completion",$B2-TODAY()&lt;=4)</formula>
    </cfRule>
    <cfRule type="expression" priority="1406" dxfId="1">
      <formula>$E2="Duplicate"</formula>
    </cfRule>
    <cfRule type="expression" priority="1407" dxfId="2">
      <formula>OR($E2="Completed",$E2="Move for Completion")</formula>
    </cfRule>
    <cfRule type="expression" priority="1417" dxfId="0">
      <formula>AND($B2&lt;&gt;"",$E2&lt;&gt;"Completed",$E2&lt;&gt;"Move for Completion",$B2-TODAY()&lt;=4)</formula>
    </cfRule>
    <cfRule type="expression" priority="1418" dxfId="1">
      <formula>$E2="Duplicate"</formula>
    </cfRule>
    <cfRule type="expression" priority="1419" dxfId="2">
      <formula>OR($E2="Completed",$E2="Move for Completion")</formula>
    </cfRule>
    <cfRule type="expression" priority="1429" dxfId="0">
      <formula>AND($B2&lt;&gt;"",$E2&lt;&gt;"Completed",$E2&lt;&gt;"Move for Completion",$B2-TODAY()&lt;=4)</formula>
    </cfRule>
    <cfRule type="expression" priority="1430" dxfId="1">
      <formula>$E2="Duplicate"</formula>
    </cfRule>
    <cfRule type="expression" priority="1431" dxfId="2">
      <formula>OR($E2="Completed",$E2="Move for Completion")</formula>
    </cfRule>
    <cfRule type="expression" priority="1441" dxfId="0">
      <formula>AND($B2&lt;&gt;"",$E2&lt;&gt;"Completed",$E2&lt;&gt;"Move for Completion",$B2-TODAY()&lt;=4)</formula>
    </cfRule>
    <cfRule type="expression" priority="1442" dxfId="1">
      <formula>$E2="Duplicate"</formula>
    </cfRule>
    <cfRule type="expression" priority="1443" dxfId="2">
      <formula>OR($E2="Completed",$E2="Move for Completion")</formula>
    </cfRule>
  </conditionalFormatting>
  <conditionalFormatting sqref="E2:E5000">
    <cfRule type="expression" priority="4" dxfId="3">
      <formula>$E2="Need to be assigned"</formula>
    </cfRule>
    <cfRule type="expression" priority="5" dxfId="1">
      <formula>$E2="Urgent"</formula>
    </cfRule>
    <cfRule type="expression" priority="6" dxfId="4">
      <formula>$E2="Overdue"</formula>
    </cfRule>
    <cfRule type="expression" priority="7" dxfId="5">
      <formula>$E2="Due within 4 days"</formula>
    </cfRule>
    <cfRule type="expression" priority="8" dxfId="6">
      <formula>$E2="In Process"</formula>
    </cfRule>
    <cfRule type="expression" priority="9" dxfId="7">
      <formula>$E2="Move for Completion"</formula>
    </cfRule>
    <cfRule type="expression" priority="10" dxfId="8">
      <formula>$E2="Completed"</formula>
    </cfRule>
    <cfRule type="expression" priority="11" dxfId="1">
      <formula>$E2="Issue"</formula>
    </cfRule>
    <cfRule type="expression" priority="12" dxfId="4">
      <formula>$E2="Duplicate"</formula>
    </cfRule>
    <cfRule type="expression" priority="16" dxfId="3">
      <formula>$E2="Need to be assigned"</formula>
    </cfRule>
    <cfRule type="expression" priority="17" dxfId="1">
      <formula>$E2="Urgent"</formula>
    </cfRule>
    <cfRule type="expression" priority="18" dxfId="4">
      <formula>$E2="Overdue"</formula>
    </cfRule>
    <cfRule type="expression" priority="19" dxfId="5">
      <formula>$E2="Due within 4 days"</formula>
    </cfRule>
    <cfRule type="expression" priority="20" dxfId="6">
      <formula>$E2="In Process"</formula>
    </cfRule>
    <cfRule type="expression" priority="21" dxfId="7">
      <formula>$E2="Move for Completion"</formula>
    </cfRule>
    <cfRule type="expression" priority="22" dxfId="8">
      <formula>$E2="Completed"</formula>
    </cfRule>
    <cfRule type="expression" priority="23" dxfId="1">
      <formula>$E2="Issue"</formula>
    </cfRule>
    <cfRule type="expression" priority="24" dxfId="4">
      <formula>$E2="Duplicate"</formula>
    </cfRule>
    <cfRule type="expression" priority="28" dxfId="3">
      <formula>$E2="Need to be assigned"</formula>
    </cfRule>
    <cfRule type="expression" priority="29" dxfId="1">
      <formula>$E2="Urgent"</formula>
    </cfRule>
    <cfRule type="expression" priority="30" dxfId="4">
      <formula>$E2="Overdue"</formula>
    </cfRule>
    <cfRule type="expression" priority="31" dxfId="5">
      <formula>$E2="Due within 4 days"</formula>
    </cfRule>
    <cfRule type="expression" priority="32" dxfId="6">
      <formula>$E2="In Process"</formula>
    </cfRule>
    <cfRule type="expression" priority="33" dxfId="7">
      <formula>$E2="Move for Completion"</formula>
    </cfRule>
    <cfRule type="expression" priority="34" dxfId="8">
      <formula>$E2="Completed"</formula>
    </cfRule>
    <cfRule type="expression" priority="35" dxfId="1">
      <formula>$E2="Issue"</formula>
    </cfRule>
    <cfRule type="expression" priority="36" dxfId="4">
      <formula>$E2="Duplicate"</formula>
    </cfRule>
    <cfRule type="expression" priority="40" dxfId="3">
      <formula>$E2="Need to be assigned"</formula>
    </cfRule>
    <cfRule type="expression" priority="41" dxfId="1">
      <formula>$E2="Urgent"</formula>
    </cfRule>
    <cfRule type="expression" priority="42" dxfId="4">
      <formula>$E2="Overdue"</formula>
    </cfRule>
    <cfRule type="expression" priority="43" dxfId="5">
      <formula>$E2="Due within 4 days"</formula>
    </cfRule>
    <cfRule type="expression" priority="44" dxfId="6">
      <formula>$E2="In Process"</formula>
    </cfRule>
    <cfRule type="expression" priority="45" dxfId="7">
      <formula>$E2="Move for Completion"</formula>
    </cfRule>
    <cfRule type="expression" priority="46" dxfId="8">
      <formula>$E2="Completed"</formula>
    </cfRule>
    <cfRule type="expression" priority="47" dxfId="1">
      <formula>$E2="Issue"</formula>
    </cfRule>
    <cfRule type="expression" priority="48" dxfId="4">
      <formula>$E2="Duplicate"</formula>
    </cfRule>
    <cfRule type="expression" priority="52" dxfId="3">
      <formula>$E2="Need to be assigned"</formula>
    </cfRule>
    <cfRule type="expression" priority="53" dxfId="1">
      <formula>$E2="Urgent"</formula>
    </cfRule>
    <cfRule type="expression" priority="54" dxfId="4">
      <formula>$E2="Overdue"</formula>
    </cfRule>
    <cfRule type="expression" priority="55" dxfId="5">
      <formula>$E2="Due within 4 days"</formula>
    </cfRule>
    <cfRule type="expression" priority="56" dxfId="6">
      <formula>$E2="In Process"</formula>
    </cfRule>
    <cfRule type="expression" priority="57" dxfId="7">
      <formula>$E2="Move for Completion"</formula>
    </cfRule>
    <cfRule type="expression" priority="58" dxfId="8">
      <formula>$E2="Completed"</formula>
    </cfRule>
    <cfRule type="expression" priority="59" dxfId="1">
      <formula>$E2="Issue"</formula>
    </cfRule>
    <cfRule type="expression" priority="60" dxfId="4">
      <formula>$E2="Duplicate"</formula>
    </cfRule>
    <cfRule type="expression" priority="64" dxfId="3">
      <formula>$E2="Need to be assigned"</formula>
    </cfRule>
    <cfRule type="expression" priority="65" dxfId="1">
      <formula>$E2="Urgent"</formula>
    </cfRule>
    <cfRule type="expression" priority="66" dxfId="4">
      <formula>$E2="Overdue"</formula>
    </cfRule>
    <cfRule type="expression" priority="67" dxfId="5">
      <formula>$E2="Due within 4 days"</formula>
    </cfRule>
    <cfRule type="expression" priority="68" dxfId="6">
      <formula>$E2="In Process"</formula>
    </cfRule>
    <cfRule type="expression" priority="69" dxfId="7">
      <formula>$E2="Move for Completion"</formula>
    </cfRule>
    <cfRule type="expression" priority="70" dxfId="8">
      <formula>$E2="Completed"</formula>
    </cfRule>
    <cfRule type="expression" priority="71" dxfId="1">
      <formula>$E2="Issue"</formula>
    </cfRule>
    <cfRule type="expression" priority="72" dxfId="4">
      <formula>$E2="Duplicate"</formula>
    </cfRule>
    <cfRule type="expression" priority="76" dxfId="3">
      <formula>$E2="Need to be assigned"</formula>
    </cfRule>
    <cfRule type="expression" priority="77" dxfId="1">
      <formula>$E2="Urgent"</formula>
    </cfRule>
    <cfRule type="expression" priority="78" dxfId="4">
      <formula>$E2="Overdue"</formula>
    </cfRule>
    <cfRule type="expression" priority="79" dxfId="5">
      <formula>$E2="Due within 4 days"</formula>
    </cfRule>
    <cfRule type="expression" priority="80" dxfId="6">
      <formula>$E2="In Process"</formula>
    </cfRule>
    <cfRule type="expression" priority="81" dxfId="7">
      <formula>$E2="Move for Completion"</formula>
    </cfRule>
    <cfRule type="expression" priority="82" dxfId="8">
      <formula>$E2="Completed"</formula>
    </cfRule>
    <cfRule type="expression" priority="83" dxfId="1">
      <formula>$E2="Issue"</formula>
    </cfRule>
    <cfRule type="expression" priority="84" dxfId="4">
      <formula>$E2="Duplicate"</formula>
    </cfRule>
    <cfRule type="expression" priority="88" dxfId="3">
      <formula>$E2="Need to be assigned"</formula>
    </cfRule>
    <cfRule type="expression" priority="89" dxfId="1">
      <formula>$E2="Urgent"</formula>
    </cfRule>
    <cfRule type="expression" priority="90" dxfId="4">
      <formula>$E2="Overdue"</formula>
    </cfRule>
    <cfRule type="expression" priority="91" dxfId="5">
      <formula>$E2="Due within 4 days"</formula>
    </cfRule>
    <cfRule type="expression" priority="92" dxfId="6">
      <formula>$E2="In Process"</formula>
    </cfRule>
    <cfRule type="expression" priority="93" dxfId="7">
      <formula>$E2="Move for Completion"</formula>
    </cfRule>
    <cfRule type="expression" priority="94" dxfId="8">
      <formula>$E2="Completed"</formula>
    </cfRule>
    <cfRule type="expression" priority="95" dxfId="1">
      <formula>$E2="Issue"</formula>
    </cfRule>
    <cfRule type="expression" priority="96" dxfId="4">
      <formula>$E2="Duplicate"</formula>
    </cfRule>
    <cfRule type="expression" priority="100" dxfId="3">
      <formula>$E2="Need to be assigned"</formula>
    </cfRule>
    <cfRule type="expression" priority="101" dxfId="1">
      <formula>$E2="Urgent"</formula>
    </cfRule>
    <cfRule type="expression" priority="102" dxfId="4">
      <formula>$E2="Overdue"</formula>
    </cfRule>
    <cfRule type="expression" priority="103" dxfId="5">
      <formula>$E2="Due within 4 days"</formula>
    </cfRule>
    <cfRule type="expression" priority="104" dxfId="6">
      <formula>$E2="In Process"</formula>
    </cfRule>
    <cfRule type="expression" priority="105" dxfId="7">
      <formula>$E2="Move for Completion"</formula>
    </cfRule>
    <cfRule type="expression" priority="106" dxfId="8">
      <formula>$E2="Completed"</formula>
    </cfRule>
    <cfRule type="expression" priority="107" dxfId="1">
      <formula>$E2="Issue"</formula>
    </cfRule>
    <cfRule type="expression" priority="108" dxfId="4">
      <formula>$E2="Duplicate"</formula>
    </cfRule>
    <cfRule type="expression" priority="112" dxfId="3">
      <formula>$E2="Need to be assigned"</formula>
    </cfRule>
    <cfRule type="expression" priority="113" dxfId="1">
      <formula>$E2="Urgent"</formula>
    </cfRule>
    <cfRule type="expression" priority="114" dxfId="4">
      <formula>$E2="Overdue"</formula>
    </cfRule>
    <cfRule type="expression" priority="115" dxfId="5">
      <formula>$E2="Due within 4 days"</formula>
    </cfRule>
    <cfRule type="expression" priority="116" dxfId="6">
      <formula>$E2="In Process"</formula>
    </cfRule>
    <cfRule type="expression" priority="117" dxfId="7">
      <formula>$E2="Move for Completion"</formula>
    </cfRule>
    <cfRule type="expression" priority="118" dxfId="8">
      <formula>$E2="Completed"</formula>
    </cfRule>
    <cfRule type="expression" priority="119" dxfId="1">
      <formula>$E2="Issue"</formula>
    </cfRule>
    <cfRule type="expression" priority="120" dxfId="4">
      <formula>$E2="Duplicate"</formula>
    </cfRule>
    <cfRule type="expression" priority="124" dxfId="3">
      <formula>$E2="Need to be assigned"</formula>
    </cfRule>
    <cfRule type="expression" priority="125" dxfId="1">
      <formula>$E2="Urgent"</formula>
    </cfRule>
    <cfRule type="expression" priority="126" dxfId="4">
      <formula>$E2="Overdue"</formula>
    </cfRule>
    <cfRule type="expression" priority="127" dxfId="5">
      <formula>$E2="Due within 4 days"</formula>
    </cfRule>
    <cfRule type="expression" priority="128" dxfId="6">
      <formula>$E2="In Process"</formula>
    </cfRule>
    <cfRule type="expression" priority="129" dxfId="7">
      <formula>$E2="Move for Completion"</formula>
    </cfRule>
    <cfRule type="expression" priority="130" dxfId="8">
      <formula>$E2="Completed"</formula>
    </cfRule>
    <cfRule type="expression" priority="131" dxfId="1">
      <formula>$E2="Issue"</formula>
    </cfRule>
    <cfRule type="expression" priority="132" dxfId="4">
      <formula>$E2="Duplicate"</formula>
    </cfRule>
    <cfRule type="expression" priority="136" dxfId="3">
      <formula>$E2="Need to be assigned"</formula>
    </cfRule>
    <cfRule type="expression" priority="137" dxfId="1">
      <formula>$E2="Urgent"</formula>
    </cfRule>
    <cfRule type="expression" priority="138" dxfId="4">
      <formula>$E2="Overdue"</formula>
    </cfRule>
    <cfRule type="expression" priority="139" dxfId="5">
      <formula>$E2="Due within 4 days"</formula>
    </cfRule>
    <cfRule type="expression" priority="140" dxfId="6">
      <formula>$E2="In Process"</formula>
    </cfRule>
    <cfRule type="expression" priority="141" dxfId="7">
      <formula>$E2="Move for Completion"</formula>
    </cfRule>
    <cfRule type="expression" priority="142" dxfId="8">
      <formula>$E2="Completed"</formula>
    </cfRule>
    <cfRule type="expression" priority="143" dxfId="1">
      <formula>$E2="Issue"</formula>
    </cfRule>
    <cfRule type="expression" priority="144" dxfId="4">
      <formula>$E2="Duplicate"</formula>
    </cfRule>
    <cfRule type="expression" priority="148" dxfId="3">
      <formula>$E2="Need to be assigned"</formula>
    </cfRule>
    <cfRule type="expression" priority="149" dxfId="1">
      <formula>$E2="Urgent"</formula>
    </cfRule>
    <cfRule type="expression" priority="150" dxfId="4">
      <formula>$E2="Overdue"</formula>
    </cfRule>
    <cfRule type="expression" priority="151" dxfId="5">
      <formula>$E2="Due within 4 days"</formula>
    </cfRule>
    <cfRule type="expression" priority="152" dxfId="6">
      <formula>$E2="In Process"</formula>
    </cfRule>
    <cfRule type="expression" priority="153" dxfId="7">
      <formula>$E2="Move for Completion"</formula>
    </cfRule>
    <cfRule type="expression" priority="154" dxfId="8">
      <formula>$E2="Completed"</formula>
    </cfRule>
    <cfRule type="expression" priority="155" dxfId="1">
      <formula>$E2="Issue"</formula>
    </cfRule>
    <cfRule type="expression" priority="156" dxfId="4">
      <formula>$E2="Duplicate"</formula>
    </cfRule>
    <cfRule type="expression" priority="160" dxfId="3">
      <formula>$E2="Need to be assigned"</formula>
    </cfRule>
    <cfRule type="expression" priority="161" dxfId="1">
      <formula>$E2="Urgent"</formula>
    </cfRule>
    <cfRule type="expression" priority="162" dxfId="4">
      <formula>$E2="Overdue"</formula>
    </cfRule>
    <cfRule type="expression" priority="163" dxfId="5">
      <formula>$E2="Due within 4 days"</formula>
    </cfRule>
    <cfRule type="expression" priority="164" dxfId="6">
      <formula>$E2="In Process"</formula>
    </cfRule>
    <cfRule type="expression" priority="165" dxfId="7">
      <formula>$E2="Move for Completion"</formula>
    </cfRule>
    <cfRule type="expression" priority="166" dxfId="8">
      <formula>$E2="Completed"</formula>
    </cfRule>
    <cfRule type="expression" priority="167" dxfId="1">
      <formula>$E2="Issue"</formula>
    </cfRule>
    <cfRule type="expression" priority="168" dxfId="4">
      <formula>$E2="Duplicate"</formula>
    </cfRule>
    <cfRule type="expression" priority="172" dxfId="3">
      <formula>$E2="Need to be assigned"</formula>
    </cfRule>
    <cfRule type="expression" priority="173" dxfId="1">
      <formula>$E2="Urgent"</formula>
    </cfRule>
    <cfRule type="expression" priority="174" dxfId="4">
      <formula>$E2="Overdue"</formula>
    </cfRule>
    <cfRule type="expression" priority="175" dxfId="5">
      <formula>$E2="Due within 4 days"</formula>
    </cfRule>
    <cfRule type="expression" priority="176" dxfId="6">
      <formula>$E2="In Process"</formula>
    </cfRule>
    <cfRule type="expression" priority="177" dxfId="7">
      <formula>$E2="Move for Completion"</formula>
    </cfRule>
    <cfRule type="expression" priority="178" dxfId="8">
      <formula>$E2="Completed"</formula>
    </cfRule>
    <cfRule type="expression" priority="179" dxfId="1">
      <formula>$E2="Issue"</formula>
    </cfRule>
    <cfRule type="expression" priority="180" dxfId="4">
      <formula>$E2="Duplicate"</formula>
    </cfRule>
    <cfRule type="expression" priority="184" dxfId="3">
      <formula>$E2="Need to be assigned"</formula>
    </cfRule>
    <cfRule type="expression" priority="185" dxfId="1">
      <formula>$E2="Urgent"</formula>
    </cfRule>
    <cfRule type="expression" priority="186" dxfId="4">
      <formula>$E2="Overdue"</formula>
    </cfRule>
    <cfRule type="expression" priority="187" dxfId="5">
      <formula>$E2="Due within 4 days"</formula>
    </cfRule>
    <cfRule type="expression" priority="188" dxfId="6">
      <formula>$E2="In Process"</formula>
    </cfRule>
    <cfRule type="expression" priority="189" dxfId="7">
      <formula>$E2="Move for Completion"</formula>
    </cfRule>
    <cfRule type="expression" priority="190" dxfId="8">
      <formula>$E2="Completed"</formula>
    </cfRule>
    <cfRule type="expression" priority="191" dxfId="1">
      <formula>$E2="Issue"</formula>
    </cfRule>
    <cfRule type="expression" priority="192" dxfId="4">
      <formula>$E2="Duplicate"</formula>
    </cfRule>
    <cfRule type="expression" priority="196" dxfId="3">
      <formula>$E2="Need to be assigned"</formula>
    </cfRule>
    <cfRule type="expression" priority="197" dxfId="1">
      <formula>$E2="Urgent"</formula>
    </cfRule>
    <cfRule type="expression" priority="198" dxfId="4">
      <formula>$E2="Overdue"</formula>
    </cfRule>
    <cfRule type="expression" priority="199" dxfId="5">
      <formula>$E2="Due within 4 days"</formula>
    </cfRule>
    <cfRule type="expression" priority="200" dxfId="6">
      <formula>$E2="In Process"</formula>
    </cfRule>
    <cfRule type="expression" priority="201" dxfId="7">
      <formula>$E2="Move for Completion"</formula>
    </cfRule>
    <cfRule type="expression" priority="202" dxfId="8">
      <formula>$E2="Completed"</formula>
    </cfRule>
    <cfRule type="expression" priority="203" dxfId="1">
      <formula>$E2="Issue"</formula>
    </cfRule>
    <cfRule type="expression" priority="204" dxfId="4">
      <formula>$E2="Duplicate"</formula>
    </cfRule>
    <cfRule type="expression" priority="208" dxfId="3">
      <formula>$E2="Need to be assigned"</formula>
    </cfRule>
    <cfRule type="expression" priority="209" dxfId="1">
      <formula>$E2="Urgent"</formula>
    </cfRule>
    <cfRule type="expression" priority="210" dxfId="4">
      <formula>$E2="Overdue"</formula>
    </cfRule>
    <cfRule type="expression" priority="211" dxfId="5">
      <formula>$E2="Due within 4 days"</formula>
    </cfRule>
    <cfRule type="expression" priority="212" dxfId="6">
      <formula>$E2="In Process"</formula>
    </cfRule>
    <cfRule type="expression" priority="213" dxfId="7">
      <formula>$E2="Move for Completion"</formula>
    </cfRule>
    <cfRule type="expression" priority="214" dxfId="8">
      <formula>$E2="Completed"</formula>
    </cfRule>
    <cfRule type="expression" priority="215" dxfId="1">
      <formula>$E2="Issue"</formula>
    </cfRule>
    <cfRule type="expression" priority="216" dxfId="4">
      <formula>$E2="Duplicate"</formula>
    </cfRule>
    <cfRule type="expression" priority="220" dxfId="3">
      <formula>$E2="Need to be assigned"</formula>
    </cfRule>
    <cfRule type="expression" priority="221" dxfId="1">
      <formula>$E2="Urgent"</formula>
    </cfRule>
    <cfRule type="expression" priority="222" dxfId="4">
      <formula>$E2="Overdue"</formula>
    </cfRule>
    <cfRule type="expression" priority="223" dxfId="5">
      <formula>$E2="Due within 4 days"</formula>
    </cfRule>
    <cfRule type="expression" priority="224" dxfId="6">
      <formula>$E2="In Process"</formula>
    </cfRule>
    <cfRule type="expression" priority="225" dxfId="7">
      <formula>$E2="Move for Completion"</formula>
    </cfRule>
    <cfRule type="expression" priority="226" dxfId="8">
      <formula>$E2="Completed"</formula>
    </cfRule>
    <cfRule type="expression" priority="227" dxfId="1">
      <formula>$E2="Issue"</formula>
    </cfRule>
    <cfRule type="expression" priority="228" dxfId="4">
      <formula>$E2="Duplicate"</formula>
    </cfRule>
    <cfRule type="expression" priority="232" dxfId="3">
      <formula>$E2="Need to be assigned"</formula>
    </cfRule>
    <cfRule type="expression" priority="233" dxfId="1">
      <formula>$E2="Urgent"</formula>
    </cfRule>
    <cfRule type="expression" priority="234" dxfId="4">
      <formula>$E2="Overdue"</formula>
    </cfRule>
    <cfRule type="expression" priority="235" dxfId="5">
      <formula>$E2="Due within 4 days"</formula>
    </cfRule>
    <cfRule type="expression" priority="236" dxfId="6">
      <formula>$E2="In Process"</formula>
    </cfRule>
    <cfRule type="expression" priority="237" dxfId="7">
      <formula>$E2="Move for Completion"</formula>
    </cfRule>
    <cfRule type="expression" priority="238" dxfId="8">
      <formula>$E2="Completed"</formula>
    </cfRule>
    <cfRule type="expression" priority="239" dxfId="1">
      <formula>$E2="Issue"</formula>
    </cfRule>
    <cfRule type="expression" priority="240" dxfId="4">
      <formula>$E2="Duplicate"</formula>
    </cfRule>
    <cfRule type="expression" priority="244" dxfId="3">
      <formula>$E2="Need to be assigned"</formula>
    </cfRule>
    <cfRule type="expression" priority="245" dxfId="1">
      <formula>$E2="Urgent"</formula>
    </cfRule>
    <cfRule type="expression" priority="246" dxfId="4">
      <formula>$E2="Overdue"</formula>
    </cfRule>
    <cfRule type="expression" priority="247" dxfId="5">
      <formula>$E2="Due within 4 days"</formula>
    </cfRule>
    <cfRule type="expression" priority="248" dxfId="6">
      <formula>$E2="In Process"</formula>
    </cfRule>
    <cfRule type="expression" priority="249" dxfId="7">
      <formula>$E2="Move for Completion"</formula>
    </cfRule>
    <cfRule type="expression" priority="250" dxfId="8">
      <formula>$E2="Completed"</formula>
    </cfRule>
    <cfRule type="expression" priority="251" dxfId="1">
      <formula>$E2="Issue"</formula>
    </cfRule>
    <cfRule type="expression" priority="252" dxfId="4">
      <formula>$E2="Duplicate"</formula>
    </cfRule>
    <cfRule type="expression" priority="256" dxfId="3">
      <formula>$E2="Need to be assigned"</formula>
    </cfRule>
    <cfRule type="expression" priority="257" dxfId="1">
      <formula>$E2="Urgent"</formula>
    </cfRule>
    <cfRule type="expression" priority="258" dxfId="4">
      <formula>$E2="Overdue"</formula>
    </cfRule>
    <cfRule type="expression" priority="259" dxfId="5">
      <formula>$E2="Due within 4 days"</formula>
    </cfRule>
    <cfRule type="expression" priority="260" dxfId="6">
      <formula>$E2="In Process"</formula>
    </cfRule>
    <cfRule type="expression" priority="261" dxfId="7">
      <formula>$E2="Move for Completion"</formula>
    </cfRule>
    <cfRule type="expression" priority="262" dxfId="8">
      <formula>$E2="Completed"</formula>
    </cfRule>
    <cfRule type="expression" priority="263" dxfId="1">
      <formula>$E2="Issue"</formula>
    </cfRule>
    <cfRule type="expression" priority="264" dxfId="4">
      <formula>$E2="Duplicate"</formula>
    </cfRule>
    <cfRule type="expression" priority="268" dxfId="3">
      <formula>$E2="Need to be assigned"</formula>
    </cfRule>
    <cfRule type="expression" priority="269" dxfId="1">
      <formula>$E2="Urgent"</formula>
    </cfRule>
    <cfRule type="expression" priority="270" dxfId="4">
      <formula>$E2="Overdue"</formula>
    </cfRule>
    <cfRule type="expression" priority="271" dxfId="5">
      <formula>$E2="Due within 4 days"</formula>
    </cfRule>
    <cfRule type="expression" priority="272" dxfId="6">
      <formula>$E2="In Process"</formula>
    </cfRule>
    <cfRule type="expression" priority="273" dxfId="7">
      <formula>$E2="Move for Completion"</formula>
    </cfRule>
    <cfRule type="expression" priority="274" dxfId="8">
      <formula>$E2="Completed"</formula>
    </cfRule>
    <cfRule type="expression" priority="275" dxfId="1">
      <formula>$E2="Issue"</formula>
    </cfRule>
    <cfRule type="expression" priority="276" dxfId="4">
      <formula>$E2="Duplicate"</formula>
    </cfRule>
    <cfRule type="expression" priority="280" dxfId="3">
      <formula>$E2="Need to be assigned"</formula>
    </cfRule>
    <cfRule type="expression" priority="281" dxfId="1">
      <formula>$E2="Urgent"</formula>
    </cfRule>
    <cfRule type="expression" priority="282" dxfId="4">
      <formula>$E2="Overdue"</formula>
    </cfRule>
    <cfRule type="expression" priority="283" dxfId="5">
      <formula>$E2="Due within 4 days"</formula>
    </cfRule>
    <cfRule type="expression" priority="284" dxfId="6">
      <formula>$E2="In Process"</formula>
    </cfRule>
    <cfRule type="expression" priority="285" dxfId="7">
      <formula>$E2="Move for Completion"</formula>
    </cfRule>
    <cfRule type="expression" priority="286" dxfId="8">
      <formula>$E2="Completed"</formula>
    </cfRule>
    <cfRule type="expression" priority="287" dxfId="1">
      <formula>$E2="Issue"</formula>
    </cfRule>
    <cfRule type="expression" priority="288" dxfId="4">
      <formula>$E2="Duplicate"</formula>
    </cfRule>
    <cfRule type="expression" priority="292" dxfId="3">
      <formula>$E2="Need to be assigned"</formula>
    </cfRule>
    <cfRule type="expression" priority="293" dxfId="1">
      <formula>$E2="Urgent"</formula>
    </cfRule>
    <cfRule type="expression" priority="294" dxfId="4">
      <formula>$E2="Overdue"</formula>
    </cfRule>
    <cfRule type="expression" priority="295" dxfId="5">
      <formula>$E2="Due within 4 days"</formula>
    </cfRule>
    <cfRule type="expression" priority="296" dxfId="6">
      <formula>$E2="In Process"</formula>
    </cfRule>
    <cfRule type="expression" priority="297" dxfId="7">
      <formula>$E2="Move for Completion"</formula>
    </cfRule>
    <cfRule type="expression" priority="298" dxfId="8">
      <formula>$E2="Completed"</formula>
    </cfRule>
    <cfRule type="expression" priority="299" dxfId="1">
      <formula>$E2="Issue"</formula>
    </cfRule>
    <cfRule type="expression" priority="300" dxfId="4">
      <formula>$E2="Duplicate"</formula>
    </cfRule>
    <cfRule type="expression" priority="304" dxfId="3">
      <formula>$E2="Need to be assigned"</formula>
    </cfRule>
    <cfRule type="expression" priority="305" dxfId="1">
      <formula>$E2="Urgent"</formula>
    </cfRule>
    <cfRule type="expression" priority="306" dxfId="4">
      <formula>$E2="Overdue"</formula>
    </cfRule>
    <cfRule type="expression" priority="307" dxfId="5">
      <formula>$E2="Due within 4 days"</formula>
    </cfRule>
    <cfRule type="expression" priority="308" dxfId="6">
      <formula>$E2="In Process"</formula>
    </cfRule>
    <cfRule type="expression" priority="309" dxfId="7">
      <formula>$E2="Move for Completion"</formula>
    </cfRule>
    <cfRule type="expression" priority="310" dxfId="8">
      <formula>$E2="Completed"</formula>
    </cfRule>
    <cfRule type="expression" priority="311" dxfId="1">
      <formula>$E2="Issue"</formula>
    </cfRule>
    <cfRule type="expression" priority="312" dxfId="4">
      <formula>$E2="Duplicate"</formula>
    </cfRule>
    <cfRule type="expression" priority="316" dxfId="3">
      <formula>$E2="Need to be assigned"</formula>
    </cfRule>
    <cfRule type="expression" priority="317" dxfId="1">
      <formula>$E2="Urgent"</formula>
    </cfRule>
    <cfRule type="expression" priority="318" dxfId="4">
      <formula>$E2="Overdue"</formula>
    </cfRule>
    <cfRule type="expression" priority="319" dxfId="5">
      <formula>$E2="Due within 4 days"</formula>
    </cfRule>
    <cfRule type="expression" priority="320" dxfId="6">
      <formula>$E2="In Process"</formula>
    </cfRule>
    <cfRule type="expression" priority="321" dxfId="7">
      <formula>$E2="Move for Completion"</formula>
    </cfRule>
    <cfRule type="expression" priority="322" dxfId="8">
      <formula>$E2="Completed"</formula>
    </cfRule>
    <cfRule type="expression" priority="323" dxfId="1">
      <formula>$E2="Issue"</formula>
    </cfRule>
    <cfRule type="expression" priority="324" dxfId="4">
      <formula>$E2="Duplicate"</formula>
    </cfRule>
    <cfRule type="expression" priority="328" dxfId="3">
      <formula>$E2="Need to be assigned"</formula>
    </cfRule>
    <cfRule type="expression" priority="329" dxfId="1">
      <formula>$E2="Urgent"</formula>
    </cfRule>
    <cfRule type="expression" priority="330" dxfId="4">
      <formula>$E2="Overdue"</formula>
    </cfRule>
    <cfRule type="expression" priority="331" dxfId="5">
      <formula>$E2="Due within 4 days"</formula>
    </cfRule>
    <cfRule type="expression" priority="332" dxfId="6">
      <formula>$E2="In Process"</formula>
    </cfRule>
    <cfRule type="expression" priority="333" dxfId="7">
      <formula>$E2="Move for Completion"</formula>
    </cfRule>
    <cfRule type="expression" priority="334" dxfId="8">
      <formula>$E2="Completed"</formula>
    </cfRule>
    <cfRule type="expression" priority="335" dxfId="1">
      <formula>$E2="Issue"</formula>
    </cfRule>
    <cfRule type="expression" priority="336" dxfId="4">
      <formula>$E2="Duplicate"</formula>
    </cfRule>
    <cfRule type="expression" priority="340" dxfId="3">
      <formula>$E2="Need to be assigned"</formula>
    </cfRule>
    <cfRule type="expression" priority="341" dxfId="1">
      <formula>$E2="Urgent"</formula>
    </cfRule>
    <cfRule type="expression" priority="342" dxfId="4">
      <formula>$E2="Overdue"</formula>
    </cfRule>
    <cfRule type="expression" priority="343" dxfId="5">
      <formula>$E2="Due within 4 days"</formula>
    </cfRule>
    <cfRule type="expression" priority="344" dxfId="6">
      <formula>$E2="In Process"</formula>
    </cfRule>
    <cfRule type="expression" priority="345" dxfId="7">
      <formula>$E2="Move for Completion"</formula>
    </cfRule>
    <cfRule type="expression" priority="346" dxfId="8">
      <formula>$E2="Completed"</formula>
    </cfRule>
    <cfRule type="expression" priority="347" dxfId="1">
      <formula>$E2="Issue"</formula>
    </cfRule>
    <cfRule type="expression" priority="348" dxfId="4">
      <formula>$E2="Duplicate"</formula>
    </cfRule>
    <cfRule type="expression" priority="352" dxfId="3">
      <formula>$E2="Need to be assigned"</formula>
    </cfRule>
    <cfRule type="expression" priority="353" dxfId="1">
      <formula>$E2="Urgent"</formula>
    </cfRule>
    <cfRule type="expression" priority="354" dxfId="4">
      <formula>$E2="Overdue"</formula>
    </cfRule>
    <cfRule type="expression" priority="355" dxfId="5">
      <formula>$E2="Due within 4 days"</formula>
    </cfRule>
    <cfRule type="expression" priority="356" dxfId="6">
      <formula>$E2="In Process"</formula>
    </cfRule>
    <cfRule type="expression" priority="357" dxfId="7">
      <formula>$E2="Move for Completion"</formula>
    </cfRule>
    <cfRule type="expression" priority="358" dxfId="8">
      <formula>$E2="Completed"</formula>
    </cfRule>
    <cfRule type="expression" priority="359" dxfId="1">
      <formula>$E2="Issue"</formula>
    </cfRule>
    <cfRule type="expression" priority="360" dxfId="4">
      <formula>$E2="Duplicate"</formula>
    </cfRule>
    <cfRule type="expression" priority="364" dxfId="3">
      <formula>$E2="Need to be assigned"</formula>
    </cfRule>
    <cfRule type="expression" priority="365" dxfId="1">
      <formula>$E2="Urgent"</formula>
    </cfRule>
    <cfRule type="expression" priority="366" dxfId="4">
      <formula>$E2="Overdue"</formula>
    </cfRule>
    <cfRule type="expression" priority="367" dxfId="5">
      <formula>$E2="Due within 4 days"</formula>
    </cfRule>
    <cfRule type="expression" priority="368" dxfId="6">
      <formula>$E2="In Process"</formula>
    </cfRule>
    <cfRule type="expression" priority="369" dxfId="7">
      <formula>$E2="Move for Completion"</formula>
    </cfRule>
    <cfRule type="expression" priority="370" dxfId="8">
      <formula>$E2="Completed"</formula>
    </cfRule>
    <cfRule type="expression" priority="371" dxfId="1">
      <formula>$E2="Issue"</formula>
    </cfRule>
    <cfRule type="expression" priority="372" dxfId="4">
      <formula>$E2="Duplicate"</formula>
    </cfRule>
    <cfRule type="expression" priority="376" dxfId="3">
      <formula>$E2="Need to be assigned"</formula>
    </cfRule>
    <cfRule type="expression" priority="377" dxfId="1">
      <formula>$E2="Urgent"</formula>
    </cfRule>
    <cfRule type="expression" priority="378" dxfId="4">
      <formula>$E2="Overdue"</formula>
    </cfRule>
    <cfRule type="expression" priority="379" dxfId="5">
      <formula>$E2="Due within 4 days"</formula>
    </cfRule>
    <cfRule type="expression" priority="380" dxfId="6">
      <formula>$E2="In Process"</formula>
    </cfRule>
    <cfRule type="expression" priority="381" dxfId="7">
      <formula>$E2="Move for Completion"</formula>
    </cfRule>
    <cfRule type="expression" priority="382" dxfId="8">
      <formula>$E2="Completed"</formula>
    </cfRule>
    <cfRule type="expression" priority="383" dxfId="1">
      <formula>$E2="Issue"</formula>
    </cfRule>
    <cfRule type="expression" priority="384" dxfId="4">
      <formula>$E2="Duplicate"</formula>
    </cfRule>
    <cfRule type="expression" priority="388" dxfId="3">
      <formula>$E2="Need to be assigned"</formula>
    </cfRule>
    <cfRule type="expression" priority="389" dxfId="1">
      <formula>$E2="Urgent"</formula>
    </cfRule>
    <cfRule type="expression" priority="390" dxfId="4">
      <formula>$E2="Overdue"</formula>
    </cfRule>
    <cfRule type="expression" priority="391" dxfId="5">
      <formula>$E2="Due within 4 days"</formula>
    </cfRule>
    <cfRule type="expression" priority="392" dxfId="6">
      <formula>$E2="In Process"</formula>
    </cfRule>
    <cfRule type="expression" priority="393" dxfId="7">
      <formula>$E2="Move for Completion"</formula>
    </cfRule>
    <cfRule type="expression" priority="394" dxfId="8">
      <formula>$E2="Completed"</formula>
    </cfRule>
    <cfRule type="expression" priority="395" dxfId="1">
      <formula>$E2="Issue"</formula>
    </cfRule>
    <cfRule type="expression" priority="396" dxfId="4">
      <formula>$E2="Duplicate"</formula>
    </cfRule>
    <cfRule type="expression" priority="400" dxfId="3">
      <formula>$E2="Need to be assigned"</formula>
    </cfRule>
    <cfRule type="expression" priority="401" dxfId="1">
      <formula>$E2="Urgent"</formula>
    </cfRule>
    <cfRule type="expression" priority="402" dxfId="4">
      <formula>$E2="Overdue"</formula>
    </cfRule>
    <cfRule type="expression" priority="403" dxfId="5">
      <formula>$E2="Due within 4 days"</formula>
    </cfRule>
    <cfRule type="expression" priority="404" dxfId="6">
      <formula>$E2="In Process"</formula>
    </cfRule>
    <cfRule type="expression" priority="405" dxfId="7">
      <formula>$E2="Move for Completion"</formula>
    </cfRule>
    <cfRule type="expression" priority="406" dxfId="8">
      <formula>$E2="Completed"</formula>
    </cfRule>
    <cfRule type="expression" priority="407" dxfId="1">
      <formula>$E2="Issue"</formula>
    </cfRule>
    <cfRule type="expression" priority="408" dxfId="4">
      <formula>$E2="Duplicate"</formula>
    </cfRule>
    <cfRule type="expression" priority="412" dxfId="3">
      <formula>$E2="Need to be assigned"</formula>
    </cfRule>
    <cfRule type="expression" priority="413" dxfId="1">
      <formula>$E2="Urgent"</formula>
    </cfRule>
    <cfRule type="expression" priority="414" dxfId="4">
      <formula>$E2="Overdue"</formula>
    </cfRule>
    <cfRule type="expression" priority="415" dxfId="5">
      <formula>$E2="Due within 4 days"</formula>
    </cfRule>
    <cfRule type="expression" priority="416" dxfId="6">
      <formula>$E2="In Process"</formula>
    </cfRule>
    <cfRule type="expression" priority="417" dxfId="7">
      <formula>$E2="Move for Completion"</formula>
    </cfRule>
    <cfRule type="expression" priority="418" dxfId="8">
      <formula>$E2="Completed"</formula>
    </cfRule>
    <cfRule type="expression" priority="419" dxfId="1">
      <formula>$E2="Issue"</formula>
    </cfRule>
    <cfRule type="expression" priority="420" dxfId="4">
      <formula>$E2="Duplicate"</formula>
    </cfRule>
    <cfRule type="expression" priority="424" dxfId="3">
      <formula>$E2="Need to be assigned"</formula>
    </cfRule>
    <cfRule type="expression" priority="425" dxfId="1">
      <formula>$E2="Urgent"</formula>
    </cfRule>
    <cfRule type="expression" priority="426" dxfId="4">
      <formula>$E2="Overdue"</formula>
    </cfRule>
    <cfRule type="expression" priority="427" dxfId="5">
      <formula>$E2="Due within 4 days"</formula>
    </cfRule>
    <cfRule type="expression" priority="428" dxfId="6">
      <formula>$E2="In Process"</formula>
    </cfRule>
    <cfRule type="expression" priority="429" dxfId="7">
      <formula>$E2="Move for Completion"</formula>
    </cfRule>
    <cfRule type="expression" priority="430" dxfId="8">
      <formula>$E2="Completed"</formula>
    </cfRule>
    <cfRule type="expression" priority="431" dxfId="1">
      <formula>$E2="Issue"</formula>
    </cfRule>
    <cfRule type="expression" priority="432" dxfId="4">
      <formula>$E2="Duplicate"</formula>
    </cfRule>
    <cfRule type="expression" priority="436" dxfId="3">
      <formula>$E2="Need to be assigned"</formula>
    </cfRule>
    <cfRule type="expression" priority="437" dxfId="1">
      <formula>$E2="Urgent"</formula>
    </cfRule>
    <cfRule type="expression" priority="438" dxfId="4">
      <formula>$E2="Overdue"</formula>
    </cfRule>
    <cfRule type="expression" priority="439" dxfId="5">
      <formula>$E2="Due within 4 days"</formula>
    </cfRule>
    <cfRule type="expression" priority="440" dxfId="6">
      <formula>$E2="In Process"</formula>
    </cfRule>
    <cfRule type="expression" priority="441" dxfId="7">
      <formula>$E2="Move for Completion"</formula>
    </cfRule>
    <cfRule type="expression" priority="442" dxfId="8">
      <formula>$E2="Completed"</formula>
    </cfRule>
    <cfRule type="expression" priority="443" dxfId="1">
      <formula>$E2="Issue"</formula>
    </cfRule>
    <cfRule type="expression" priority="444" dxfId="4">
      <formula>$E2="Duplicate"</formula>
    </cfRule>
    <cfRule type="expression" priority="448" dxfId="3">
      <formula>$E2="Need to be assigned"</formula>
    </cfRule>
    <cfRule type="expression" priority="449" dxfId="1">
      <formula>$E2="Urgent"</formula>
    </cfRule>
    <cfRule type="expression" priority="450" dxfId="4">
      <formula>$E2="Overdue"</formula>
    </cfRule>
    <cfRule type="expression" priority="451" dxfId="5">
      <formula>$E2="Due within 4 days"</formula>
    </cfRule>
    <cfRule type="expression" priority="452" dxfId="6">
      <formula>$E2="In Process"</formula>
    </cfRule>
    <cfRule type="expression" priority="453" dxfId="7">
      <formula>$E2="Move for Completion"</formula>
    </cfRule>
    <cfRule type="expression" priority="454" dxfId="8">
      <formula>$E2="Completed"</formula>
    </cfRule>
    <cfRule type="expression" priority="455" dxfId="1">
      <formula>$E2="Issue"</formula>
    </cfRule>
    <cfRule type="expression" priority="456" dxfId="4">
      <formula>$E2="Duplicate"</formula>
    </cfRule>
    <cfRule type="expression" priority="460" dxfId="3">
      <formula>$E2="Need to be assigned"</formula>
    </cfRule>
    <cfRule type="expression" priority="461" dxfId="1">
      <formula>$E2="Urgent"</formula>
    </cfRule>
    <cfRule type="expression" priority="462" dxfId="4">
      <formula>$E2="Overdue"</formula>
    </cfRule>
    <cfRule type="expression" priority="463" dxfId="5">
      <formula>$E2="Due within 4 days"</formula>
    </cfRule>
    <cfRule type="expression" priority="464" dxfId="6">
      <formula>$E2="In Process"</formula>
    </cfRule>
    <cfRule type="expression" priority="465" dxfId="7">
      <formula>$E2="Move for Completion"</formula>
    </cfRule>
    <cfRule type="expression" priority="466" dxfId="8">
      <formula>$E2="Completed"</formula>
    </cfRule>
    <cfRule type="expression" priority="467" dxfId="1">
      <formula>$E2="Issue"</formula>
    </cfRule>
    <cfRule type="expression" priority="468" dxfId="4">
      <formula>$E2="Duplicate"</formula>
    </cfRule>
    <cfRule type="expression" priority="472" dxfId="3">
      <formula>$E2="Need to be assigned"</formula>
    </cfRule>
    <cfRule type="expression" priority="473" dxfId="1">
      <formula>$E2="Urgent"</formula>
    </cfRule>
    <cfRule type="expression" priority="474" dxfId="4">
      <formula>$E2="Overdue"</formula>
    </cfRule>
    <cfRule type="expression" priority="475" dxfId="5">
      <formula>$E2="Due within 4 days"</formula>
    </cfRule>
    <cfRule type="expression" priority="476" dxfId="6">
      <formula>$E2="In Process"</formula>
    </cfRule>
    <cfRule type="expression" priority="477" dxfId="7">
      <formula>$E2="Move for Completion"</formula>
    </cfRule>
    <cfRule type="expression" priority="478" dxfId="8">
      <formula>$E2="Completed"</formula>
    </cfRule>
    <cfRule type="expression" priority="479" dxfId="1">
      <formula>$E2="Issue"</formula>
    </cfRule>
    <cfRule type="expression" priority="480" dxfId="4">
      <formula>$E2="Duplicate"</formula>
    </cfRule>
    <cfRule type="expression" priority="484" dxfId="3">
      <formula>$E2="Need to be assigned"</formula>
    </cfRule>
    <cfRule type="expression" priority="485" dxfId="1">
      <formula>$E2="Urgent"</formula>
    </cfRule>
    <cfRule type="expression" priority="486" dxfId="4">
      <formula>$E2="Overdue"</formula>
    </cfRule>
    <cfRule type="expression" priority="487" dxfId="5">
      <formula>$E2="Due within 4 days"</formula>
    </cfRule>
    <cfRule type="expression" priority="488" dxfId="6">
      <formula>$E2="In Process"</formula>
    </cfRule>
    <cfRule type="expression" priority="489" dxfId="7">
      <formula>$E2="Move for Completion"</formula>
    </cfRule>
    <cfRule type="expression" priority="490" dxfId="8">
      <formula>$E2="Completed"</formula>
    </cfRule>
    <cfRule type="expression" priority="491" dxfId="1">
      <formula>$E2="Issue"</formula>
    </cfRule>
    <cfRule type="expression" priority="492" dxfId="4">
      <formula>$E2="Duplicate"</formula>
    </cfRule>
    <cfRule type="expression" priority="496" dxfId="3">
      <formula>$E2="Need to be assigned"</formula>
    </cfRule>
    <cfRule type="expression" priority="497" dxfId="1">
      <formula>$E2="Urgent"</formula>
    </cfRule>
    <cfRule type="expression" priority="498" dxfId="4">
      <formula>$E2="Overdue"</formula>
    </cfRule>
    <cfRule type="expression" priority="499" dxfId="5">
      <formula>$E2="Due within 4 days"</formula>
    </cfRule>
    <cfRule type="expression" priority="500" dxfId="6">
      <formula>$E2="In Process"</formula>
    </cfRule>
    <cfRule type="expression" priority="501" dxfId="7">
      <formula>$E2="Move for Completion"</formula>
    </cfRule>
    <cfRule type="expression" priority="502" dxfId="8">
      <formula>$E2="Completed"</formula>
    </cfRule>
    <cfRule type="expression" priority="503" dxfId="1">
      <formula>$E2="Issue"</formula>
    </cfRule>
    <cfRule type="expression" priority="504" dxfId="4">
      <formula>$E2="Duplicate"</formula>
    </cfRule>
    <cfRule type="expression" priority="508" dxfId="3">
      <formula>$E2="Need to be assigned"</formula>
    </cfRule>
    <cfRule type="expression" priority="509" dxfId="1">
      <formula>$E2="Urgent"</formula>
    </cfRule>
    <cfRule type="expression" priority="510" dxfId="4">
      <formula>$E2="Overdue"</formula>
    </cfRule>
    <cfRule type="expression" priority="511" dxfId="5">
      <formula>$E2="Due within 4 days"</formula>
    </cfRule>
    <cfRule type="expression" priority="512" dxfId="6">
      <formula>$E2="In Process"</formula>
    </cfRule>
    <cfRule type="expression" priority="513" dxfId="7">
      <formula>$E2="Move for Completion"</formula>
    </cfRule>
    <cfRule type="expression" priority="514" dxfId="8">
      <formula>$E2="Completed"</formula>
    </cfRule>
    <cfRule type="expression" priority="515" dxfId="1">
      <formula>$E2="Issue"</formula>
    </cfRule>
    <cfRule type="expression" priority="516" dxfId="4">
      <formula>$E2="Duplicate"</formula>
    </cfRule>
    <cfRule type="expression" priority="520" dxfId="3">
      <formula>$E2="Need to be assigned"</formula>
    </cfRule>
    <cfRule type="expression" priority="521" dxfId="1">
      <formula>$E2="Urgent"</formula>
    </cfRule>
    <cfRule type="expression" priority="522" dxfId="4">
      <formula>$E2="Overdue"</formula>
    </cfRule>
    <cfRule type="expression" priority="523" dxfId="5">
      <formula>$E2="Due within 4 days"</formula>
    </cfRule>
    <cfRule type="expression" priority="524" dxfId="6">
      <formula>$E2="In Process"</formula>
    </cfRule>
    <cfRule type="expression" priority="525" dxfId="7">
      <formula>$E2="Move for Completion"</formula>
    </cfRule>
    <cfRule type="expression" priority="526" dxfId="8">
      <formula>$E2="Completed"</formula>
    </cfRule>
    <cfRule type="expression" priority="527" dxfId="1">
      <formula>$E2="Issue"</formula>
    </cfRule>
    <cfRule type="expression" priority="528" dxfId="4">
      <formula>$E2="Duplicate"</formula>
    </cfRule>
    <cfRule type="expression" priority="532" dxfId="3">
      <formula>$E2="Need to be assigned"</formula>
    </cfRule>
    <cfRule type="expression" priority="533" dxfId="1">
      <formula>$E2="Urgent"</formula>
    </cfRule>
    <cfRule type="expression" priority="534" dxfId="4">
      <formula>$E2="Overdue"</formula>
    </cfRule>
    <cfRule type="expression" priority="535" dxfId="5">
      <formula>$E2="Due within 4 days"</formula>
    </cfRule>
    <cfRule type="expression" priority="536" dxfId="6">
      <formula>$E2="In Process"</formula>
    </cfRule>
    <cfRule type="expression" priority="537" dxfId="7">
      <formula>$E2="Move for Completion"</formula>
    </cfRule>
    <cfRule type="expression" priority="538" dxfId="8">
      <formula>$E2="Completed"</formula>
    </cfRule>
    <cfRule type="expression" priority="539" dxfId="1">
      <formula>$E2="Issue"</formula>
    </cfRule>
    <cfRule type="expression" priority="540" dxfId="4">
      <formula>$E2="Duplicate"</formula>
    </cfRule>
    <cfRule type="expression" priority="544" dxfId="3">
      <formula>$E2="Need to be assigned"</formula>
    </cfRule>
    <cfRule type="expression" priority="545" dxfId="1">
      <formula>$E2="Urgent"</formula>
    </cfRule>
    <cfRule type="expression" priority="546" dxfId="4">
      <formula>$E2="Overdue"</formula>
    </cfRule>
    <cfRule type="expression" priority="547" dxfId="5">
      <formula>$E2="Due within 4 days"</formula>
    </cfRule>
    <cfRule type="expression" priority="548" dxfId="6">
      <formula>$E2="In Process"</formula>
    </cfRule>
    <cfRule type="expression" priority="549" dxfId="7">
      <formula>$E2="Move for Completion"</formula>
    </cfRule>
    <cfRule type="expression" priority="550" dxfId="8">
      <formula>$E2="Completed"</formula>
    </cfRule>
    <cfRule type="expression" priority="551" dxfId="1">
      <formula>$E2="Issue"</formula>
    </cfRule>
    <cfRule type="expression" priority="552" dxfId="4">
      <formula>$E2="Duplicate"</formula>
    </cfRule>
    <cfRule type="expression" priority="556" dxfId="3">
      <formula>$E2="Need to be assigned"</formula>
    </cfRule>
    <cfRule type="expression" priority="557" dxfId="1">
      <formula>$E2="Urgent"</formula>
    </cfRule>
    <cfRule type="expression" priority="558" dxfId="4">
      <formula>$E2="Overdue"</formula>
    </cfRule>
    <cfRule type="expression" priority="559" dxfId="5">
      <formula>$E2="Due within 4 days"</formula>
    </cfRule>
    <cfRule type="expression" priority="560" dxfId="6">
      <formula>$E2="In Process"</formula>
    </cfRule>
    <cfRule type="expression" priority="561" dxfId="7">
      <formula>$E2="Move for Completion"</formula>
    </cfRule>
    <cfRule type="expression" priority="562" dxfId="8">
      <formula>$E2="Completed"</formula>
    </cfRule>
    <cfRule type="expression" priority="563" dxfId="1">
      <formula>$E2="Issue"</formula>
    </cfRule>
    <cfRule type="expression" priority="564" dxfId="4">
      <formula>$E2="Duplicate"</formula>
    </cfRule>
    <cfRule type="expression" priority="568" dxfId="3">
      <formula>$E2="Need to be assigned"</formula>
    </cfRule>
    <cfRule type="expression" priority="569" dxfId="1">
      <formula>$E2="Urgent"</formula>
    </cfRule>
    <cfRule type="expression" priority="570" dxfId="4">
      <formula>$E2="Overdue"</formula>
    </cfRule>
    <cfRule type="expression" priority="571" dxfId="5">
      <formula>$E2="Due within 4 days"</formula>
    </cfRule>
    <cfRule type="expression" priority="572" dxfId="6">
      <formula>$E2="In Process"</formula>
    </cfRule>
    <cfRule type="expression" priority="573" dxfId="7">
      <formula>$E2="Move for Completion"</formula>
    </cfRule>
    <cfRule type="expression" priority="574" dxfId="8">
      <formula>$E2="Completed"</formula>
    </cfRule>
    <cfRule type="expression" priority="575" dxfId="1">
      <formula>$E2="Issue"</formula>
    </cfRule>
    <cfRule type="expression" priority="576" dxfId="4">
      <formula>$E2="Duplicate"</formula>
    </cfRule>
    <cfRule type="expression" priority="580" dxfId="3">
      <formula>$E2="Need to be assigned"</formula>
    </cfRule>
    <cfRule type="expression" priority="581" dxfId="1">
      <formula>$E2="Urgent"</formula>
    </cfRule>
    <cfRule type="expression" priority="582" dxfId="4">
      <formula>$E2="Overdue"</formula>
    </cfRule>
    <cfRule type="expression" priority="583" dxfId="5">
      <formula>$E2="Due within 4 days"</formula>
    </cfRule>
    <cfRule type="expression" priority="584" dxfId="6">
      <formula>$E2="In Process"</formula>
    </cfRule>
    <cfRule type="expression" priority="585" dxfId="7">
      <formula>$E2="Move for Completion"</formula>
    </cfRule>
    <cfRule type="expression" priority="586" dxfId="8">
      <formula>$E2="Completed"</formula>
    </cfRule>
    <cfRule type="expression" priority="587" dxfId="1">
      <formula>$E2="Issue"</formula>
    </cfRule>
    <cfRule type="expression" priority="588" dxfId="4">
      <formula>$E2="Duplicate"</formula>
    </cfRule>
    <cfRule type="expression" priority="592" dxfId="3">
      <formula>$E2="Need to be assigned"</formula>
    </cfRule>
    <cfRule type="expression" priority="593" dxfId="1">
      <formula>$E2="Urgent"</formula>
    </cfRule>
    <cfRule type="expression" priority="594" dxfId="4">
      <formula>$E2="Overdue"</formula>
    </cfRule>
    <cfRule type="expression" priority="595" dxfId="5">
      <formula>$E2="Due within 4 days"</formula>
    </cfRule>
    <cfRule type="expression" priority="596" dxfId="6">
      <formula>$E2="In Process"</formula>
    </cfRule>
    <cfRule type="expression" priority="597" dxfId="7">
      <formula>$E2="Move for Completion"</formula>
    </cfRule>
    <cfRule type="expression" priority="598" dxfId="8">
      <formula>$E2="Completed"</formula>
    </cfRule>
    <cfRule type="expression" priority="599" dxfId="1">
      <formula>$E2="Issue"</formula>
    </cfRule>
    <cfRule type="expression" priority="600" dxfId="4">
      <formula>$E2="Duplicate"</formula>
    </cfRule>
    <cfRule type="expression" priority="604" dxfId="3">
      <formula>$E2="Need to be assigned"</formula>
    </cfRule>
    <cfRule type="expression" priority="605" dxfId="1">
      <formula>$E2="Urgent"</formula>
    </cfRule>
    <cfRule type="expression" priority="606" dxfId="4">
      <formula>$E2="Overdue"</formula>
    </cfRule>
    <cfRule type="expression" priority="607" dxfId="5">
      <formula>$E2="Due within 4 days"</formula>
    </cfRule>
    <cfRule type="expression" priority="608" dxfId="6">
      <formula>$E2="In Process"</formula>
    </cfRule>
    <cfRule type="expression" priority="609" dxfId="7">
      <formula>$E2="Move for Completion"</formula>
    </cfRule>
    <cfRule type="expression" priority="610" dxfId="8">
      <formula>$E2="Completed"</formula>
    </cfRule>
    <cfRule type="expression" priority="611" dxfId="1">
      <formula>$E2="Issue"</formula>
    </cfRule>
    <cfRule type="expression" priority="612" dxfId="4">
      <formula>$E2="Duplicate"</formula>
    </cfRule>
    <cfRule type="expression" priority="616" dxfId="3">
      <formula>$E2="Need to be assigned"</formula>
    </cfRule>
    <cfRule type="expression" priority="617" dxfId="1">
      <formula>$E2="Urgent"</formula>
    </cfRule>
    <cfRule type="expression" priority="618" dxfId="4">
      <formula>$E2="Overdue"</formula>
    </cfRule>
    <cfRule type="expression" priority="619" dxfId="5">
      <formula>$E2="Due within 4 days"</formula>
    </cfRule>
    <cfRule type="expression" priority="620" dxfId="6">
      <formula>$E2="In Process"</formula>
    </cfRule>
    <cfRule type="expression" priority="621" dxfId="7">
      <formula>$E2="Move for Completion"</formula>
    </cfRule>
    <cfRule type="expression" priority="622" dxfId="8">
      <formula>$E2="Completed"</formula>
    </cfRule>
    <cfRule type="expression" priority="623" dxfId="1">
      <formula>$E2="Issue"</formula>
    </cfRule>
    <cfRule type="expression" priority="624" dxfId="4">
      <formula>$E2="Duplicate"</formula>
    </cfRule>
    <cfRule type="expression" priority="628" dxfId="3">
      <formula>$E2="Need to be assigned"</formula>
    </cfRule>
    <cfRule type="expression" priority="629" dxfId="1">
      <formula>$E2="Urgent"</formula>
    </cfRule>
    <cfRule type="expression" priority="630" dxfId="4">
      <formula>$E2="Overdue"</formula>
    </cfRule>
    <cfRule type="expression" priority="631" dxfId="5">
      <formula>$E2="Due within 4 days"</formula>
    </cfRule>
    <cfRule type="expression" priority="632" dxfId="6">
      <formula>$E2="In Process"</formula>
    </cfRule>
    <cfRule type="expression" priority="633" dxfId="7">
      <formula>$E2="Move for Completion"</formula>
    </cfRule>
    <cfRule type="expression" priority="634" dxfId="8">
      <formula>$E2="Completed"</formula>
    </cfRule>
    <cfRule type="expression" priority="635" dxfId="1">
      <formula>$E2="Issue"</formula>
    </cfRule>
    <cfRule type="expression" priority="636" dxfId="4">
      <formula>$E2="Duplicate"</formula>
    </cfRule>
    <cfRule type="expression" priority="640" dxfId="3">
      <formula>$E2="Need to be assigned"</formula>
    </cfRule>
    <cfRule type="expression" priority="641" dxfId="1">
      <formula>$E2="Urgent"</formula>
    </cfRule>
    <cfRule type="expression" priority="642" dxfId="4">
      <formula>$E2="Overdue"</formula>
    </cfRule>
    <cfRule type="expression" priority="643" dxfId="5">
      <formula>$E2="Due within 4 days"</formula>
    </cfRule>
    <cfRule type="expression" priority="644" dxfId="6">
      <formula>$E2="In Process"</formula>
    </cfRule>
    <cfRule type="expression" priority="645" dxfId="7">
      <formula>$E2="Move for Completion"</formula>
    </cfRule>
    <cfRule type="expression" priority="646" dxfId="8">
      <formula>$E2="Completed"</formula>
    </cfRule>
    <cfRule type="expression" priority="647" dxfId="1">
      <formula>$E2="Issue"</formula>
    </cfRule>
    <cfRule type="expression" priority="648" dxfId="4">
      <formula>$E2="Duplicate"</formula>
    </cfRule>
    <cfRule type="expression" priority="652" dxfId="3">
      <formula>$E2="Need to be assigned"</formula>
    </cfRule>
    <cfRule type="expression" priority="653" dxfId="1">
      <formula>$E2="Urgent"</formula>
    </cfRule>
    <cfRule type="expression" priority="654" dxfId="4">
      <formula>$E2="Overdue"</formula>
    </cfRule>
    <cfRule type="expression" priority="655" dxfId="5">
      <formula>$E2="Due within 4 days"</formula>
    </cfRule>
    <cfRule type="expression" priority="656" dxfId="6">
      <formula>$E2="In Process"</formula>
    </cfRule>
    <cfRule type="expression" priority="657" dxfId="7">
      <formula>$E2="Move for Completion"</formula>
    </cfRule>
    <cfRule type="expression" priority="658" dxfId="8">
      <formula>$E2="Completed"</formula>
    </cfRule>
    <cfRule type="expression" priority="659" dxfId="1">
      <formula>$E2="Issue"</formula>
    </cfRule>
    <cfRule type="expression" priority="660" dxfId="4">
      <formula>$E2="Duplicate"</formula>
    </cfRule>
    <cfRule type="expression" priority="664" dxfId="3">
      <formula>$E2="Need to be assigned"</formula>
    </cfRule>
    <cfRule type="expression" priority="665" dxfId="1">
      <formula>$E2="Urgent"</formula>
    </cfRule>
    <cfRule type="expression" priority="666" dxfId="4">
      <formula>$E2="Overdue"</formula>
    </cfRule>
    <cfRule type="expression" priority="667" dxfId="5">
      <formula>$E2="Due within 4 days"</formula>
    </cfRule>
    <cfRule type="expression" priority="668" dxfId="6">
      <formula>$E2="In Process"</formula>
    </cfRule>
    <cfRule type="expression" priority="669" dxfId="7">
      <formula>$E2="Move for Completion"</formula>
    </cfRule>
    <cfRule type="expression" priority="670" dxfId="8">
      <formula>$E2="Completed"</formula>
    </cfRule>
    <cfRule type="expression" priority="671" dxfId="1">
      <formula>$E2="Issue"</formula>
    </cfRule>
    <cfRule type="expression" priority="672" dxfId="4">
      <formula>$E2="Duplicate"</formula>
    </cfRule>
    <cfRule type="expression" priority="676" dxfId="3">
      <formula>$E2="Need to be assigned"</formula>
    </cfRule>
    <cfRule type="expression" priority="677" dxfId="1">
      <formula>$E2="Urgent"</formula>
    </cfRule>
    <cfRule type="expression" priority="678" dxfId="4">
      <formula>$E2="Overdue"</formula>
    </cfRule>
    <cfRule type="expression" priority="679" dxfId="5">
      <formula>$E2="Due within 4 days"</formula>
    </cfRule>
    <cfRule type="expression" priority="680" dxfId="6">
      <formula>$E2="In Process"</formula>
    </cfRule>
    <cfRule type="expression" priority="681" dxfId="7">
      <formula>$E2="Move for Completion"</formula>
    </cfRule>
    <cfRule type="expression" priority="682" dxfId="8">
      <formula>$E2="Completed"</formula>
    </cfRule>
    <cfRule type="expression" priority="683" dxfId="1">
      <formula>$E2="Issue"</formula>
    </cfRule>
    <cfRule type="expression" priority="684" dxfId="4">
      <formula>$E2="Duplicate"</formula>
    </cfRule>
    <cfRule type="expression" priority="688" dxfId="3">
      <formula>$E2="Need to be assigned"</formula>
    </cfRule>
    <cfRule type="expression" priority="689" dxfId="1">
      <formula>$E2="Urgent"</formula>
    </cfRule>
    <cfRule type="expression" priority="690" dxfId="4">
      <formula>$E2="Overdue"</formula>
    </cfRule>
    <cfRule type="expression" priority="691" dxfId="5">
      <formula>$E2="Due within 4 days"</formula>
    </cfRule>
    <cfRule type="expression" priority="692" dxfId="6">
      <formula>$E2="In Process"</formula>
    </cfRule>
    <cfRule type="expression" priority="693" dxfId="7">
      <formula>$E2="Move for Completion"</formula>
    </cfRule>
    <cfRule type="expression" priority="694" dxfId="8">
      <formula>$E2="Completed"</formula>
    </cfRule>
    <cfRule type="expression" priority="695" dxfId="1">
      <formula>$E2="Issue"</formula>
    </cfRule>
    <cfRule type="expression" priority="696" dxfId="4">
      <formula>$E2="Duplicate"</formula>
    </cfRule>
    <cfRule type="expression" priority="700" dxfId="3">
      <formula>$E2="Need to be assigned"</formula>
    </cfRule>
    <cfRule type="expression" priority="701" dxfId="1">
      <formula>$E2="Urgent"</formula>
    </cfRule>
    <cfRule type="expression" priority="702" dxfId="4">
      <formula>$E2="Overdue"</formula>
    </cfRule>
    <cfRule type="expression" priority="703" dxfId="5">
      <formula>$E2="Due within 4 days"</formula>
    </cfRule>
    <cfRule type="expression" priority="704" dxfId="6">
      <formula>$E2="In Process"</formula>
    </cfRule>
    <cfRule type="expression" priority="705" dxfId="7">
      <formula>$E2="Move for Completion"</formula>
    </cfRule>
    <cfRule type="expression" priority="706" dxfId="8">
      <formula>$E2="Completed"</formula>
    </cfRule>
    <cfRule type="expression" priority="707" dxfId="1">
      <formula>$E2="Issue"</formula>
    </cfRule>
    <cfRule type="expression" priority="708" dxfId="4">
      <formula>$E2="Duplicate"</formula>
    </cfRule>
    <cfRule type="expression" priority="712" dxfId="3">
      <formula>$E2="Need to be assigned"</formula>
    </cfRule>
    <cfRule type="expression" priority="713" dxfId="1">
      <formula>$E2="Urgent"</formula>
    </cfRule>
    <cfRule type="expression" priority="714" dxfId="4">
      <formula>$E2="Overdue"</formula>
    </cfRule>
    <cfRule type="expression" priority="715" dxfId="5">
      <formula>$E2="Due within 4 days"</formula>
    </cfRule>
    <cfRule type="expression" priority="716" dxfId="6">
      <formula>$E2="In Process"</formula>
    </cfRule>
    <cfRule type="expression" priority="717" dxfId="7">
      <formula>$E2="Move for Completion"</formula>
    </cfRule>
    <cfRule type="expression" priority="718" dxfId="8">
      <formula>$E2="Completed"</formula>
    </cfRule>
    <cfRule type="expression" priority="719" dxfId="1">
      <formula>$E2="Issue"</formula>
    </cfRule>
    <cfRule type="expression" priority="720" dxfId="4">
      <formula>$E2="Duplicate"</formula>
    </cfRule>
    <cfRule type="expression" priority="724" dxfId="3">
      <formula>$E2="Need to be assigned"</formula>
    </cfRule>
    <cfRule type="expression" priority="725" dxfId="1">
      <formula>$E2="Urgent"</formula>
    </cfRule>
    <cfRule type="expression" priority="726" dxfId="4">
      <formula>$E2="Overdue"</formula>
    </cfRule>
    <cfRule type="expression" priority="727" dxfId="5">
      <formula>$E2="Due within 4 days"</formula>
    </cfRule>
    <cfRule type="expression" priority="728" dxfId="6">
      <formula>$E2="In Process"</formula>
    </cfRule>
    <cfRule type="expression" priority="729" dxfId="7">
      <formula>$E2="Move for Completion"</formula>
    </cfRule>
    <cfRule type="expression" priority="730" dxfId="8">
      <formula>$E2="Completed"</formula>
    </cfRule>
    <cfRule type="expression" priority="731" dxfId="1">
      <formula>$E2="Issue"</formula>
    </cfRule>
    <cfRule type="expression" priority="732" dxfId="4">
      <formula>$E2="Duplicate"</formula>
    </cfRule>
    <cfRule type="expression" priority="736" dxfId="3">
      <formula>$E2="Need to be assigned"</formula>
    </cfRule>
    <cfRule type="expression" priority="737" dxfId="1">
      <formula>$E2="Urgent"</formula>
    </cfRule>
    <cfRule type="expression" priority="738" dxfId="4">
      <formula>$E2="Overdue"</formula>
    </cfRule>
    <cfRule type="expression" priority="739" dxfId="5">
      <formula>$E2="Due within 4 days"</formula>
    </cfRule>
    <cfRule type="expression" priority="740" dxfId="6">
      <formula>$E2="In Process"</formula>
    </cfRule>
    <cfRule type="expression" priority="741" dxfId="7">
      <formula>$E2="Move for Completion"</formula>
    </cfRule>
    <cfRule type="expression" priority="742" dxfId="8">
      <formula>$E2="Completed"</formula>
    </cfRule>
    <cfRule type="expression" priority="743" dxfId="1">
      <formula>$E2="Issue"</formula>
    </cfRule>
    <cfRule type="expression" priority="744" dxfId="4">
      <formula>$E2="Duplicate"</formula>
    </cfRule>
    <cfRule type="expression" priority="748" dxfId="3">
      <formula>$E2="Need to be assigned"</formula>
    </cfRule>
    <cfRule type="expression" priority="749" dxfId="1">
      <formula>$E2="Urgent"</formula>
    </cfRule>
    <cfRule type="expression" priority="750" dxfId="4">
      <formula>$E2="Overdue"</formula>
    </cfRule>
    <cfRule type="expression" priority="751" dxfId="5">
      <formula>$E2="Due within 4 days"</formula>
    </cfRule>
    <cfRule type="expression" priority="752" dxfId="6">
      <formula>$E2="In Process"</formula>
    </cfRule>
    <cfRule type="expression" priority="753" dxfId="7">
      <formula>$E2="Move for Completion"</formula>
    </cfRule>
    <cfRule type="expression" priority="754" dxfId="8">
      <formula>$E2="Completed"</formula>
    </cfRule>
    <cfRule type="expression" priority="755" dxfId="1">
      <formula>$E2="Issue"</formula>
    </cfRule>
    <cfRule type="expression" priority="756" dxfId="4">
      <formula>$E2="Duplicate"</formula>
    </cfRule>
    <cfRule type="expression" priority="760" dxfId="3">
      <formula>$E2="Need to be assigned"</formula>
    </cfRule>
    <cfRule type="expression" priority="761" dxfId="1">
      <formula>$E2="Urgent"</formula>
    </cfRule>
    <cfRule type="expression" priority="762" dxfId="4">
      <formula>$E2="Overdue"</formula>
    </cfRule>
    <cfRule type="expression" priority="763" dxfId="5">
      <formula>$E2="Due within 4 days"</formula>
    </cfRule>
    <cfRule type="expression" priority="764" dxfId="6">
      <formula>$E2="In Process"</formula>
    </cfRule>
    <cfRule type="expression" priority="765" dxfId="7">
      <formula>$E2="Move for Completion"</formula>
    </cfRule>
    <cfRule type="expression" priority="766" dxfId="8">
      <formula>$E2="Completed"</formula>
    </cfRule>
    <cfRule type="expression" priority="767" dxfId="1">
      <formula>$E2="Issue"</formula>
    </cfRule>
    <cfRule type="expression" priority="768" dxfId="4">
      <formula>$E2="Duplicate"</formula>
    </cfRule>
    <cfRule type="expression" priority="772" dxfId="3">
      <formula>$E2="Need to be assigned"</formula>
    </cfRule>
    <cfRule type="expression" priority="773" dxfId="1">
      <formula>$E2="Urgent"</formula>
    </cfRule>
    <cfRule type="expression" priority="774" dxfId="4">
      <formula>$E2="Overdue"</formula>
    </cfRule>
    <cfRule type="expression" priority="775" dxfId="5">
      <formula>$E2="Due within 4 days"</formula>
    </cfRule>
    <cfRule type="expression" priority="776" dxfId="6">
      <formula>$E2="In Process"</formula>
    </cfRule>
    <cfRule type="expression" priority="777" dxfId="7">
      <formula>$E2="Move for Completion"</formula>
    </cfRule>
    <cfRule type="expression" priority="778" dxfId="8">
      <formula>$E2="Completed"</formula>
    </cfRule>
    <cfRule type="expression" priority="779" dxfId="1">
      <formula>$E2="Issue"</formula>
    </cfRule>
    <cfRule type="expression" priority="780" dxfId="4">
      <formula>$E2="Duplicate"</formula>
    </cfRule>
    <cfRule type="expression" priority="784" dxfId="3">
      <formula>$E2="Need to be assigned"</formula>
    </cfRule>
    <cfRule type="expression" priority="785" dxfId="1">
      <formula>$E2="Urgent"</formula>
    </cfRule>
    <cfRule type="expression" priority="786" dxfId="4">
      <formula>$E2="Overdue"</formula>
    </cfRule>
    <cfRule type="expression" priority="787" dxfId="5">
      <formula>$E2="Due within 4 days"</formula>
    </cfRule>
    <cfRule type="expression" priority="788" dxfId="6">
      <formula>$E2="In Process"</formula>
    </cfRule>
    <cfRule type="expression" priority="789" dxfId="7">
      <formula>$E2="Move for Completion"</formula>
    </cfRule>
    <cfRule type="expression" priority="790" dxfId="8">
      <formula>$E2="Completed"</formula>
    </cfRule>
    <cfRule type="expression" priority="791" dxfId="1">
      <formula>$E2="Issue"</formula>
    </cfRule>
    <cfRule type="expression" priority="792" dxfId="4">
      <formula>$E2="Duplicate"</formula>
    </cfRule>
    <cfRule type="expression" priority="796" dxfId="3">
      <formula>$E2="Need to be assigned"</formula>
    </cfRule>
    <cfRule type="expression" priority="797" dxfId="1">
      <formula>$E2="Urgent"</formula>
    </cfRule>
    <cfRule type="expression" priority="798" dxfId="4">
      <formula>$E2="Overdue"</formula>
    </cfRule>
    <cfRule type="expression" priority="799" dxfId="5">
      <formula>$E2="Due within 4 days"</formula>
    </cfRule>
    <cfRule type="expression" priority="800" dxfId="6">
      <formula>$E2="In Process"</formula>
    </cfRule>
    <cfRule type="expression" priority="801" dxfId="7">
      <formula>$E2="Move for Completion"</formula>
    </cfRule>
    <cfRule type="expression" priority="802" dxfId="8">
      <formula>$E2="Completed"</formula>
    </cfRule>
    <cfRule type="expression" priority="803" dxfId="1">
      <formula>$E2="Issue"</formula>
    </cfRule>
    <cfRule type="expression" priority="804" dxfId="4">
      <formula>$E2="Duplicate"</formula>
    </cfRule>
    <cfRule type="expression" priority="808" dxfId="3">
      <formula>$E2="Need to be assigned"</formula>
    </cfRule>
    <cfRule type="expression" priority="809" dxfId="1">
      <formula>$E2="Urgent"</formula>
    </cfRule>
    <cfRule type="expression" priority="810" dxfId="4">
      <formula>$E2="Overdue"</formula>
    </cfRule>
    <cfRule type="expression" priority="811" dxfId="5">
      <formula>$E2="Due within 4 days"</formula>
    </cfRule>
    <cfRule type="expression" priority="812" dxfId="6">
      <formula>$E2="In Process"</formula>
    </cfRule>
    <cfRule type="expression" priority="813" dxfId="7">
      <formula>$E2="Move for Completion"</formula>
    </cfRule>
    <cfRule type="expression" priority="814" dxfId="8">
      <formula>$E2="Completed"</formula>
    </cfRule>
    <cfRule type="expression" priority="815" dxfId="1">
      <formula>$E2="Issue"</formula>
    </cfRule>
    <cfRule type="expression" priority="816" dxfId="4">
      <formula>$E2="Duplicate"</formula>
    </cfRule>
    <cfRule type="expression" priority="820" dxfId="3">
      <formula>$E2="Need to be assigned"</formula>
    </cfRule>
    <cfRule type="expression" priority="821" dxfId="1">
      <formula>$E2="Urgent"</formula>
    </cfRule>
    <cfRule type="expression" priority="822" dxfId="4">
      <formula>$E2="Overdue"</formula>
    </cfRule>
    <cfRule type="expression" priority="823" dxfId="5">
      <formula>$E2="Due within 4 days"</formula>
    </cfRule>
    <cfRule type="expression" priority="824" dxfId="6">
      <formula>$E2="In Process"</formula>
    </cfRule>
    <cfRule type="expression" priority="825" dxfId="7">
      <formula>$E2="Move for Completion"</formula>
    </cfRule>
    <cfRule type="expression" priority="826" dxfId="8">
      <formula>$E2="Completed"</formula>
    </cfRule>
    <cfRule type="expression" priority="827" dxfId="1">
      <formula>$E2="Issue"</formula>
    </cfRule>
    <cfRule type="expression" priority="828" dxfId="4">
      <formula>$E2="Duplicate"</formula>
    </cfRule>
    <cfRule type="expression" priority="832" dxfId="3">
      <formula>$E2="Need to be assigned"</formula>
    </cfRule>
    <cfRule type="expression" priority="833" dxfId="1">
      <formula>$E2="Urgent"</formula>
    </cfRule>
    <cfRule type="expression" priority="834" dxfId="4">
      <formula>$E2="Overdue"</formula>
    </cfRule>
    <cfRule type="expression" priority="835" dxfId="5">
      <formula>$E2="Due within 4 days"</formula>
    </cfRule>
    <cfRule type="expression" priority="836" dxfId="6">
      <formula>$E2="In Process"</formula>
    </cfRule>
    <cfRule type="expression" priority="837" dxfId="7">
      <formula>$E2="Move for Completion"</formula>
    </cfRule>
    <cfRule type="expression" priority="838" dxfId="8">
      <formula>$E2="Completed"</formula>
    </cfRule>
    <cfRule type="expression" priority="839" dxfId="1">
      <formula>$E2="Issue"</formula>
    </cfRule>
    <cfRule type="expression" priority="840" dxfId="4">
      <formula>$E2="Duplicate"</formula>
    </cfRule>
    <cfRule type="expression" priority="844" dxfId="3">
      <formula>$E2="Need to be assigned"</formula>
    </cfRule>
    <cfRule type="expression" priority="845" dxfId="1">
      <formula>$E2="Urgent"</formula>
    </cfRule>
    <cfRule type="expression" priority="846" dxfId="4">
      <formula>$E2="Overdue"</formula>
    </cfRule>
    <cfRule type="expression" priority="847" dxfId="5">
      <formula>$E2="Due within 4 days"</formula>
    </cfRule>
    <cfRule type="expression" priority="848" dxfId="6">
      <formula>$E2="In Process"</formula>
    </cfRule>
    <cfRule type="expression" priority="849" dxfId="7">
      <formula>$E2="Move for Completion"</formula>
    </cfRule>
    <cfRule type="expression" priority="850" dxfId="8">
      <formula>$E2="Completed"</formula>
    </cfRule>
    <cfRule type="expression" priority="851" dxfId="1">
      <formula>$E2="Issue"</formula>
    </cfRule>
    <cfRule type="expression" priority="852" dxfId="4">
      <formula>$E2="Duplicate"</formula>
    </cfRule>
    <cfRule type="expression" priority="856" dxfId="3">
      <formula>$E2="Need to be assigned"</formula>
    </cfRule>
    <cfRule type="expression" priority="857" dxfId="1">
      <formula>$E2="Urgent"</formula>
    </cfRule>
    <cfRule type="expression" priority="858" dxfId="4">
      <formula>$E2="Overdue"</formula>
    </cfRule>
    <cfRule type="expression" priority="859" dxfId="5">
      <formula>$E2="Due within 4 days"</formula>
    </cfRule>
    <cfRule type="expression" priority="860" dxfId="6">
      <formula>$E2="In Process"</formula>
    </cfRule>
    <cfRule type="expression" priority="861" dxfId="7">
      <formula>$E2="Move for Completion"</formula>
    </cfRule>
    <cfRule type="expression" priority="862" dxfId="8">
      <formula>$E2="Completed"</formula>
    </cfRule>
    <cfRule type="expression" priority="863" dxfId="1">
      <formula>$E2="Issue"</formula>
    </cfRule>
    <cfRule type="expression" priority="864" dxfId="4">
      <formula>$E2="Duplicate"</formula>
    </cfRule>
    <cfRule type="expression" priority="868" dxfId="3">
      <formula>$E2="Need to be assigned"</formula>
    </cfRule>
    <cfRule type="expression" priority="869" dxfId="1">
      <formula>$E2="Urgent"</formula>
    </cfRule>
    <cfRule type="expression" priority="870" dxfId="4">
      <formula>$E2="Overdue"</formula>
    </cfRule>
    <cfRule type="expression" priority="871" dxfId="5">
      <formula>$E2="Due within 4 days"</formula>
    </cfRule>
    <cfRule type="expression" priority="872" dxfId="6">
      <formula>$E2="In Process"</formula>
    </cfRule>
    <cfRule type="expression" priority="873" dxfId="7">
      <formula>$E2="Move for Completion"</formula>
    </cfRule>
    <cfRule type="expression" priority="874" dxfId="8">
      <formula>$E2="Completed"</formula>
    </cfRule>
    <cfRule type="expression" priority="875" dxfId="1">
      <formula>$E2="Issue"</formula>
    </cfRule>
    <cfRule type="expression" priority="876" dxfId="4">
      <formula>$E2="Duplicate"</formula>
    </cfRule>
    <cfRule type="expression" priority="880" dxfId="3">
      <formula>$E2="Need to be assigned"</formula>
    </cfRule>
    <cfRule type="expression" priority="881" dxfId="1">
      <formula>$E2="Urgent"</formula>
    </cfRule>
    <cfRule type="expression" priority="882" dxfId="4">
      <formula>$E2="Overdue"</formula>
    </cfRule>
    <cfRule type="expression" priority="883" dxfId="5">
      <formula>$E2="Due within 4 days"</formula>
    </cfRule>
    <cfRule type="expression" priority="884" dxfId="6">
      <formula>$E2="In Process"</formula>
    </cfRule>
    <cfRule type="expression" priority="885" dxfId="7">
      <formula>$E2="Move for Completion"</formula>
    </cfRule>
    <cfRule type="expression" priority="886" dxfId="8">
      <formula>$E2="Completed"</formula>
    </cfRule>
    <cfRule type="expression" priority="887" dxfId="1">
      <formula>$E2="Issue"</formula>
    </cfRule>
    <cfRule type="expression" priority="888" dxfId="4">
      <formula>$E2="Duplicate"</formula>
    </cfRule>
    <cfRule type="expression" priority="892" dxfId="3">
      <formula>$E2="Need to be assigned"</formula>
    </cfRule>
    <cfRule type="expression" priority="893" dxfId="1">
      <formula>$E2="Urgent"</formula>
    </cfRule>
    <cfRule type="expression" priority="894" dxfId="4">
      <formula>$E2="Overdue"</formula>
    </cfRule>
    <cfRule type="expression" priority="895" dxfId="5">
      <formula>$E2="Due within 4 days"</formula>
    </cfRule>
    <cfRule type="expression" priority="896" dxfId="6">
      <formula>$E2="In Process"</formula>
    </cfRule>
    <cfRule type="expression" priority="897" dxfId="7">
      <formula>$E2="Move for Completion"</formula>
    </cfRule>
    <cfRule type="expression" priority="898" dxfId="8">
      <formula>$E2="Completed"</formula>
    </cfRule>
    <cfRule type="expression" priority="899" dxfId="1">
      <formula>$E2="Issue"</formula>
    </cfRule>
    <cfRule type="expression" priority="900" dxfId="4">
      <formula>$E2="Duplicate"</formula>
    </cfRule>
    <cfRule type="expression" priority="904" dxfId="3">
      <formula>$E2="Need to be assigned"</formula>
    </cfRule>
    <cfRule type="expression" priority="905" dxfId="1">
      <formula>$E2="Urgent"</formula>
    </cfRule>
    <cfRule type="expression" priority="906" dxfId="4">
      <formula>$E2="Overdue"</formula>
    </cfRule>
    <cfRule type="expression" priority="907" dxfId="5">
      <formula>$E2="Due within 4 days"</formula>
    </cfRule>
    <cfRule type="expression" priority="908" dxfId="6">
      <formula>$E2="In Process"</formula>
    </cfRule>
    <cfRule type="expression" priority="909" dxfId="7">
      <formula>$E2="Move for Completion"</formula>
    </cfRule>
    <cfRule type="expression" priority="910" dxfId="8">
      <formula>$E2="Completed"</formula>
    </cfRule>
    <cfRule type="expression" priority="911" dxfId="1">
      <formula>$E2="Issue"</formula>
    </cfRule>
    <cfRule type="expression" priority="912" dxfId="4">
      <formula>$E2="Duplicate"</formula>
    </cfRule>
    <cfRule type="expression" priority="916" dxfId="3">
      <formula>$E2="Need to be assigned"</formula>
    </cfRule>
    <cfRule type="expression" priority="917" dxfId="1">
      <formula>$E2="Urgent"</formula>
    </cfRule>
    <cfRule type="expression" priority="918" dxfId="4">
      <formula>$E2="Overdue"</formula>
    </cfRule>
    <cfRule type="expression" priority="919" dxfId="5">
      <formula>$E2="Due within 4 days"</formula>
    </cfRule>
    <cfRule type="expression" priority="920" dxfId="6">
      <formula>$E2="In Process"</formula>
    </cfRule>
    <cfRule type="expression" priority="921" dxfId="7">
      <formula>$E2="Move for Completion"</formula>
    </cfRule>
    <cfRule type="expression" priority="922" dxfId="8">
      <formula>$E2="Completed"</formula>
    </cfRule>
    <cfRule type="expression" priority="923" dxfId="1">
      <formula>$E2="Issue"</formula>
    </cfRule>
    <cfRule type="expression" priority="924" dxfId="4">
      <formula>$E2="Duplicate"</formula>
    </cfRule>
    <cfRule type="expression" priority="928" dxfId="3">
      <formula>$E2="Need to be assigned"</formula>
    </cfRule>
    <cfRule type="expression" priority="929" dxfId="1">
      <formula>$E2="Urgent"</formula>
    </cfRule>
    <cfRule type="expression" priority="930" dxfId="4">
      <formula>$E2="Overdue"</formula>
    </cfRule>
    <cfRule type="expression" priority="931" dxfId="5">
      <formula>$E2="Due within 4 days"</formula>
    </cfRule>
    <cfRule type="expression" priority="932" dxfId="6">
      <formula>$E2="In Process"</formula>
    </cfRule>
    <cfRule type="expression" priority="933" dxfId="7">
      <formula>$E2="Move for Completion"</formula>
    </cfRule>
    <cfRule type="expression" priority="934" dxfId="8">
      <formula>$E2="Completed"</formula>
    </cfRule>
    <cfRule type="expression" priority="935" dxfId="1">
      <formula>$E2="Issue"</formula>
    </cfRule>
    <cfRule type="expression" priority="936" dxfId="4">
      <formula>$E2="Duplicate"</formula>
    </cfRule>
    <cfRule type="expression" priority="940" dxfId="3">
      <formula>$E2="Need to be assigned"</formula>
    </cfRule>
    <cfRule type="expression" priority="941" dxfId="1">
      <formula>$E2="Urgent"</formula>
    </cfRule>
    <cfRule type="expression" priority="942" dxfId="4">
      <formula>$E2="Overdue"</formula>
    </cfRule>
    <cfRule type="expression" priority="943" dxfId="5">
      <formula>$E2="Due within 4 days"</formula>
    </cfRule>
    <cfRule type="expression" priority="944" dxfId="6">
      <formula>$E2="In Process"</formula>
    </cfRule>
    <cfRule type="expression" priority="945" dxfId="7">
      <formula>$E2="Move for Completion"</formula>
    </cfRule>
    <cfRule type="expression" priority="946" dxfId="8">
      <formula>$E2="Completed"</formula>
    </cfRule>
    <cfRule type="expression" priority="947" dxfId="1">
      <formula>$E2="Issue"</formula>
    </cfRule>
    <cfRule type="expression" priority="948" dxfId="4">
      <formula>$E2="Duplicate"</formula>
    </cfRule>
    <cfRule type="expression" priority="952" dxfId="3">
      <formula>$E2="Need to be assigned"</formula>
    </cfRule>
    <cfRule type="expression" priority="953" dxfId="1">
      <formula>$E2="Urgent"</formula>
    </cfRule>
    <cfRule type="expression" priority="954" dxfId="4">
      <formula>$E2="Overdue"</formula>
    </cfRule>
    <cfRule type="expression" priority="955" dxfId="5">
      <formula>$E2="Due within 4 days"</formula>
    </cfRule>
    <cfRule type="expression" priority="956" dxfId="6">
      <formula>$E2="In Process"</formula>
    </cfRule>
    <cfRule type="expression" priority="957" dxfId="7">
      <formula>$E2="Move for Completion"</formula>
    </cfRule>
    <cfRule type="expression" priority="958" dxfId="8">
      <formula>$E2="Completed"</formula>
    </cfRule>
    <cfRule type="expression" priority="959" dxfId="1">
      <formula>$E2="Issue"</formula>
    </cfRule>
    <cfRule type="expression" priority="960" dxfId="4">
      <formula>$E2="Duplicate"</formula>
    </cfRule>
    <cfRule type="expression" priority="964" dxfId="3">
      <formula>$E2="Need to be assigned"</formula>
    </cfRule>
    <cfRule type="expression" priority="965" dxfId="1">
      <formula>$E2="Urgent"</formula>
    </cfRule>
    <cfRule type="expression" priority="966" dxfId="4">
      <formula>$E2="Overdue"</formula>
    </cfRule>
    <cfRule type="expression" priority="967" dxfId="5">
      <formula>$E2="Due within 4 days"</formula>
    </cfRule>
    <cfRule type="expression" priority="968" dxfId="6">
      <formula>$E2="In Process"</formula>
    </cfRule>
    <cfRule type="expression" priority="969" dxfId="7">
      <formula>$E2="Move for Completion"</formula>
    </cfRule>
    <cfRule type="expression" priority="970" dxfId="8">
      <formula>$E2="Completed"</formula>
    </cfRule>
    <cfRule type="expression" priority="971" dxfId="1">
      <formula>$E2="Issue"</formula>
    </cfRule>
    <cfRule type="expression" priority="972" dxfId="4">
      <formula>$E2="Duplicate"</formula>
    </cfRule>
    <cfRule type="expression" priority="976" dxfId="3">
      <formula>$E2="Need to be assigned"</formula>
    </cfRule>
    <cfRule type="expression" priority="977" dxfId="1">
      <formula>$E2="Urgent"</formula>
    </cfRule>
    <cfRule type="expression" priority="978" dxfId="4">
      <formula>$E2="Overdue"</formula>
    </cfRule>
    <cfRule type="expression" priority="979" dxfId="5">
      <formula>$E2="Due within 4 days"</formula>
    </cfRule>
    <cfRule type="expression" priority="980" dxfId="6">
      <formula>$E2="In Process"</formula>
    </cfRule>
    <cfRule type="expression" priority="981" dxfId="7">
      <formula>$E2="Move for Completion"</formula>
    </cfRule>
    <cfRule type="expression" priority="982" dxfId="8">
      <formula>$E2="Completed"</formula>
    </cfRule>
    <cfRule type="expression" priority="983" dxfId="1">
      <formula>$E2="Issue"</formula>
    </cfRule>
    <cfRule type="expression" priority="984" dxfId="4">
      <formula>$E2="Duplicate"</formula>
    </cfRule>
    <cfRule type="expression" priority="988" dxfId="3">
      <formula>$E2="Need to be assigned"</formula>
    </cfRule>
    <cfRule type="expression" priority="989" dxfId="1">
      <formula>$E2="Urgent"</formula>
    </cfRule>
    <cfRule type="expression" priority="990" dxfId="4">
      <formula>$E2="Overdue"</formula>
    </cfRule>
    <cfRule type="expression" priority="991" dxfId="5">
      <formula>$E2="Due within 4 days"</formula>
    </cfRule>
    <cfRule type="expression" priority="992" dxfId="6">
      <formula>$E2="In Process"</formula>
    </cfRule>
    <cfRule type="expression" priority="993" dxfId="7">
      <formula>$E2="Move for Completion"</formula>
    </cfRule>
    <cfRule type="expression" priority="994" dxfId="8">
      <formula>$E2="Completed"</formula>
    </cfRule>
    <cfRule type="expression" priority="995" dxfId="1">
      <formula>$E2="Issue"</formula>
    </cfRule>
    <cfRule type="expression" priority="996" dxfId="4">
      <formula>$E2="Duplicate"</formula>
    </cfRule>
    <cfRule type="expression" priority="1000" dxfId="3">
      <formula>$E2="Need to be assigned"</formula>
    </cfRule>
    <cfRule type="expression" priority="1001" dxfId="1">
      <formula>$E2="Urgent"</formula>
    </cfRule>
    <cfRule type="expression" priority="1002" dxfId="4">
      <formula>$E2="Overdue"</formula>
    </cfRule>
    <cfRule type="expression" priority="1003" dxfId="5">
      <formula>$E2="Due within 4 days"</formula>
    </cfRule>
    <cfRule type="expression" priority="1004" dxfId="6">
      <formula>$E2="In Process"</formula>
    </cfRule>
    <cfRule type="expression" priority="1005" dxfId="7">
      <formula>$E2="Move for Completion"</formula>
    </cfRule>
    <cfRule type="expression" priority="1006" dxfId="8">
      <formula>$E2="Completed"</formula>
    </cfRule>
    <cfRule type="expression" priority="1007" dxfId="1">
      <formula>$E2="Issue"</formula>
    </cfRule>
    <cfRule type="expression" priority="1008" dxfId="4">
      <formula>$E2="Duplicate"</formula>
    </cfRule>
    <cfRule type="expression" priority="1012" dxfId="3">
      <formula>$E2="Need to be assigned"</formula>
    </cfRule>
    <cfRule type="expression" priority="1013" dxfId="1">
      <formula>$E2="Urgent"</formula>
    </cfRule>
    <cfRule type="expression" priority="1014" dxfId="4">
      <formula>$E2="Overdue"</formula>
    </cfRule>
    <cfRule type="expression" priority="1015" dxfId="5">
      <formula>$E2="Due within 4 days"</formula>
    </cfRule>
    <cfRule type="expression" priority="1016" dxfId="6">
      <formula>$E2="In Process"</formula>
    </cfRule>
    <cfRule type="expression" priority="1017" dxfId="7">
      <formula>$E2="Move for Completion"</formula>
    </cfRule>
    <cfRule type="expression" priority="1018" dxfId="8">
      <formula>$E2="Completed"</formula>
    </cfRule>
    <cfRule type="expression" priority="1019" dxfId="1">
      <formula>$E2="Issue"</formula>
    </cfRule>
    <cfRule type="expression" priority="1020" dxfId="4">
      <formula>$E2="Duplicate"</formula>
    </cfRule>
    <cfRule type="expression" priority="1024" dxfId="3">
      <formula>$E2="Need to be assigned"</formula>
    </cfRule>
    <cfRule type="expression" priority="1025" dxfId="1">
      <formula>$E2="Urgent"</formula>
    </cfRule>
    <cfRule type="expression" priority="1026" dxfId="4">
      <formula>$E2="Overdue"</formula>
    </cfRule>
    <cfRule type="expression" priority="1027" dxfId="5">
      <formula>$E2="Due within 4 days"</formula>
    </cfRule>
    <cfRule type="expression" priority="1028" dxfId="6">
      <formula>$E2="In Process"</formula>
    </cfRule>
    <cfRule type="expression" priority="1029" dxfId="7">
      <formula>$E2="Move for Completion"</formula>
    </cfRule>
    <cfRule type="expression" priority="1030" dxfId="8">
      <formula>$E2="Completed"</formula>
    </cfRule>
    <cfRule type="expression" priority="1031" dxfId="1">
      <formula>$E2="Issue"</formula>
    </cfRule>
    <cfRule type="expression" priority="1032" dxfId="4">
      <formula>$E2="Duplicate"</formula>
    </cfRule>
    <cfRule type="expression" priority="1036" dxfId="3">
      <formula>$E2="Need to be assigned"</formula>
    </cfRule>
    <cfRule type="expression" priority="1037" dxfId="1">
      <formula>$E2="Urgent"</formula>
    </cfRule>
    <cfRule type="expression" priority="1038" dxfId="4">
      <formula>$E2="Overdue"</formula>
    </cfRule>
    <cfRule type="expression" priority="1039" dxfId="5">
      <formula>$E2="Due within 4 days"</formula>
    </cfRule>
    <cfRule type="expression" priority="1040" dxfId="6">
      <formula>$E2="In Process"</formula>
    </cfRule>
    <cfRule type="expression" priority="1041" dxfId="7">
      <formula>$E2="Move for Completion"</formula>
    </cfRule>
    <cfRule type="expression" priority="1042" dxfId="8">
      <formula>$E2="Completed"</formula>
    </cfRule>
    <cfRule type="expression" priority="1043" dxfId="1">
      <formula>$E2="Issue"</formula>
    </cfRule>
    <cfRule type="expression" priority="1044" dxfId="4">
      <formula>$E2="Duplicate"</formula>
    </cfRule>
    <cfRule type="expression" priority="1048" dxfId="3">
      <formula>$E2="Need to be assigned"</formula>
    </cfRule>
    <cfRule type="expression" priority="1049" dxfId="1">
      <formula>$E2="Urgent"</formula>
    </cfRule>
    <cfRule type="expression" priority="1050" dxfId="4">
      <formula>$E2="Overdue"</formula>
    </cfRule>
    <cfRule type="expression" priority="1051" dxfId="5">
      <formula>$E2="Due within 4 days"</formula>
    </cfRule>
    <cfRule type="expression" priority="1052" dxfId="6">
      <formula>$E2="In Process"</formula>
    </cfRule>
    <cfRule type="expression" priority="1053" dxfId="7">
      <formula>$E2="Move for Completion"</formula>
    </cfRule>
    <cfRule type="expression" priority="1054" dxfId="8">
      <formula>$E2="Completed"</formula>
    </cfRule>
    <cfRule type="expression" priority="1055" dxfId="1">
      <formula>$E2="Issue"</formula>
    </cfRule>
    <cfRule type="expression" priority="1056" dxfId="4">
      <formula>$E2="Duplicate"</formula>
    </cfRule>
    <cfRule type="expression" priority="1060" dxfId="3">
      <formula>$E2="Need to be assigned"</formula>
    </cfRule>
    <cfRule type="expression" priority="1061" dxfId="1">
      <formula>$E2="Urgent"</formula>
    </cfRule>
    <cfRule type="expression" priority="1062" dxfId="4">
      <formula>$E2="Overdue"</formula>
    </cfRule>
    <cfRule type="expression" priority="1063" dxfId="5">
      <formula>$E2="Due within 4 days"</formula>
    </cfRule>
    <cfRule type="expression" priority="1064" dxfId="6">
      <formula>$E2="In Process"</formula>
    </cfRule>
    <cfRule type="expression" priority="1065" dxfId="7">
      <formula>$E2="Move for Completion"</formula>
    </cfRule>
    <cfRule type="expression" priority="1066" dxfId="8">
      <formula>$E2="Completed"</formula>
    </cfRule>
    <cfRule type="expression" priority="1067" dxfId="1">
      <formula>$E2="Issue"</formula>
    </cfRule>
    <cfRule type="expression" priority="1068" dxfId="4">
      <formula>$E2="Duplicate"</formula>
    </cfRule>
    <cfRule type="expression" priority="1072" dxfId="3">
      <formula>$E2="Need to be assigned"</formula>
    </cfRule>
    <cfRule type="expression" priority="1073" dxfId="1">
      <formula>$E2="Urgent"</formula>
    </cfRule>
    <cfRule type="expression" priority="1074" dxfId="4">
      <formula>$E2="Overdue"</formula>
    </cfRule>
    <cfRule type="expression" priority="1075" dxfId="5">
      <formula>$E2="Due within 4 days"</formula>
    </cfRule>
    <cfRule type="expression" priority="1076" dxfId="6">
      <formula>$E2="In Process"</formula>
    </cfRule>
    <cfRule type="expression" priority="1077" dxfId="7">
      <formula>$E2="Move for Completion"</formula>
    </cfRule>
    <cfRule type="expression" priority="1078" dxfId="8">
      <formula>$E2="Completed"</formula>
    </cfRule>
    <cfRule type="expression" priority="1079" dxfId="1">
      <formula>$E2="Issue"</formula>
    </cfRule>
    <cfRule type="expression" priority="1080" dxfId="4">
      <formula>$E2="Duplicate"</formula>
    </cfRule>
    <cfRule type="expression" priority="1084" dxfId="3">
      <formula>$E2="Need to be assigned"</formula>
    </cfRule>
    <cfRule type="expression" priority="1085" dxfId="1">
      <formula>$E2="Urgent"</formula>
    </cfRule>
    <cfRule type="expression" priority="1086" dxfId="4">
      <formula>$E2="Overdue"</formula>
    </cfRule>
    <cfRule type="expression" priority="1087" dxfId="5">
      <formula>$E2="Due within 4 days"</formula>
    </cfRule>
    <cfRule type="expression" priority="1088" dxfId="6">
      <formula>$E2="In Process"</formula>
    </cfRule>
    <cfRule type="expression" priority="1089" dxfId="7">
      <formula>$E2="Move for Completion"</formula>
    </cfRule>
    <cfRule type="expression" priority="1090" dxfId="8">
      <formula>$E2="Completed"</formula>
    </cfRule>
    <cfRule type="expression" priority="1091" dxfId="1">
      <formula>$E2="Issue"</formula>
    </cfRule>
    <cfRule type="expression" priority="1092" dxfId="4">
      <formula>$E2="Duplicate"</formula>
    </cfRule>
    <cfRule type="expression" priority="1096" dxfId="3">
      <formula>$E2="Need to be assigned"</formula>
    </cfRule>
    <cfRule type="expression" priority="1097" dxfId="1">
      <formula>$E2="Urgent"</formula>
    </cfRule>
    <cfRule type="expression" priority="1098" dxfId="4">
      <formula>$E2="Overdue"</formula>
    </cfRule>
    <cfRule type="expression" priority="1099" dxfId="5">
      <formula>$E2="Due within 4 days"</formula>
    </cfRule>
    <cfRule type="expression" priority="1100" dxfId="6">
      <formula>$E2="In Process"</formula>
    </cfRule>
    <cfRule type="expression" priority="1101" dxfId="7">
      <formula>$E2="Move for Completion"</formula>
    </cfRule>
    <cfRule type="expression" priority="1102" dxfId="8">
      <formula>$E2="Completed"</formula>
    </cfRule>
    <cfRule type="expression" priority="1103" dxfId="1">
      <formula>$E2="Issue"</formula>
    </cfRule>
    <cfRule type="expression" priority="1104" dxfId="4">
      <formula>$E2="Duplicate"</formula>
    </cfRule>
    <cfRule type="expression" priority="1108" dxfId="3">
      <formula>$E2="Need to be assigned"</formula>
    </cfRule>
    <cfRule type="expression" priority="1109" dxfId="1">
      <formula>$E2="Urgent"</formula>
    </cfRule>
    <cfRule type="expression" priority="1110" dxfId="4">
      <formula>$E2="Overdue"</formula>
    </cfRule>
    <cfRule type="expression" priority="1111" dxfId="5">
      <formula>$E2="Due within 4 days"</formula>
    </cfRule>
    <cfRule type="expression" priority="1112" dxfId="6">
      <formula>$E2="In Process"</formula>
    </cfRule>
    <cfRule type="expression" priority="1113" dxfId="7">
      <formula>$E2="Move for Completion"</formula>
    </cfRule>
    <cfRule type="expression" priority="1114" dxfId="8">
      <formula>$E2="Completed"</formula>
    </cfRule>
    <cfRule type="expression" priority="1115" dxfId="1">
      <formula>$E2="Issue"</formula>
    </cfRule>
    <cfRule type="expression" priority="1116" dxfId="4">
      <formula>$E2="Duplicate"</formula>
    </cfRule>
    <cfRule type="expression" priority="1120" dxfId="3">
      <formula>$E2="Need to be assigned"</formula>
    </cfRule>
    <cfRule type="expression" priority="1121" dxfId="1">
      <formula>$E2="Urgent"</formula>
    </cfRule>
    <cfRule type="expression" priority="1122" dxfId="4">
      <formula>$E2="Overdue"</formula>
    </cfRule>
    <cfRule type="expression" priority="1123" dxfId="5">
      <formula>$E2="Due within 4 days"</formula>
    </cfRule>
    <cfRule type="expression" priority="1124" dxfId="6">
      <formula>$E2="In Process"</formula>
    </cfRule>
    <cfRule type="expression" priority="1125" dxfId="7">
      <formula>$E2="Move for Completion"</formula>
    </cfRule>
    <cfRule type="expression" priority="1126" dxfId="8">
      <formula>$E2="Completed"</formula>
    </cfRule>
    <cfRule type="expression" priority="1127" dxfId="1">
      <formula>$E2="Issue"</formula>
    </cfRule>
    <cfRule type="expression" priority="1128" dxfId="4">
      <formula>$E2="Duplicate"</formula>
    </cfRule>
    <cfRule type="expression" priority="1132" dxfId="3">
      <formula>$E2="Need to be assigned"</formula>
    </cfRule>
    <cfRule type="expression" priority="1133" dxfId="1">
      <formula>$E2="Urgent"</formula>
    </cfRule>
    <cfRule type="expression" priority="1134" dxfId="4">
      <formula>$E2="Overdue"</formula>
    </cfRule>
    <cfRule type="expression" priority="1135" dxfId="5">
      <formula>$E2="Due within 4 days"</formula>
    </cfRule>
    <cfRule type="expression" priority="1136" dxfId="6">
      <formula>$E2="In Process"</formula>
    </cfRule>
    <cfRule type="expression" priority="1137" dxfId="7">
      <formula>$E2="Move for Completion"</formula>
    </cfRule>
    <cfRule type="expression" priority="1138" dxfId="8">
      <formula>$E2="Completed"</formula>
    </cfRule>
    <cfRule type="expression" priority="1139" dxfId="1">
      <formula>$E2="Issue"</formula>
    </cfRule>
    <cfRule type="expression" priority="1140" dxfId="4">
      <formula>$E2="Duplicate"</formula>
    </cfRule>
    <cfRule type="expression" priority="1144" dxfId="3">
      <formula>$E2="Need to be assigned"</formula>
    </cfRule>
    <cfRule type="expression" priority="1145" dxfId="1">
      <formula>$E2="Urgent"</formula>
    </cfRule>
    <cfRule type="expression" priority="1146" dxfId="4">
      <formula>$E2="Overdue"</formula>
    </cfRule>
    <cfRule type="expression" priority="1147" dxfId="5">
      <formula>$E2="Due within 4 days"</formula>
    </cfRule>
    <cfRule type="expression" priority="1148" dxfId="6">
      <formula>$E2="In Process"</formula>
    </cfRule>
    <cfRule type="expression" priority="1149" dxfId="7">
      <formula>$E2="Move for Completion"</formula>
    </cfRule>
    <cfRule type="expression" priority="1150" dxfId="8">
      <formula>$E2="Completed"</formula>
    </cfRule>
    <cfRule type="expression" priority="1151" dxfId="1">
      <formula>$E2="Issue"</formula>
    </cfRule>
    <cfRule type="expression" priority="1152" dxfId="4">
      <formula>$E2="Duplicate"</formula>
    </cfRule>
    <cfRule type="expression" priority="1156" dxfId="3">
      <formula>$E2="Need to be assigned"</formula>
    </cfRule>
    <cfRule type="expression" priority="1157" dxfId="1">
      <formula>$E2="Urgent"</formula>
    </cfRule>
    <cfRule type="expression" priority="1158" dxfId="4">
      <formula>$E2="Overdue"</formula>
    </cfRule>
    <cfRule type="expression" priority="1159" dxfId="5">
      <formula>$E2="Due within 4 days"</formula>
    </cfRule>
    <cfRule type="expression" priority="1160" dxfId="6">
      <formula>$E2="In Process"</formula>
    </cfRule>
    <cfRule type="expression" priority="1161" dxfId="7">
      <formula>$E2="Move for Completion"</formula>
    </cfRule>
    <cfRule type="expression" priority="1162" dxfId="8">
      <formula>$E2="Completed"</formula>
    </cfRule>
    <cfRule type="expression" priority="1163" dxfId="1">
      <formula>$E2="Issue"</formula>
    </cfRule>
    <cfRule type="expression" priority="1164" dxfId="4">
      <formula>$E2="Duplicate"</formula>
    </cfRule>
    <cfRule type="expression" priority="1168" dxfId="3">
      <formula>$E2="Need to be assigned"</formula>
    </cfRule>
    <cfRule type="expression" priority="1169" dxfId="1">
      <formula>$E2="Urgent"</formula>
    </cfRule>
    <cfRule type="expression" priority="1170" dxfId="4">
      <formula>$E2="Overdue"</formula>
    </cfRule>
    <cfRule type="expression" priority="1171" dxfId="5">
      <formula>$E2="Due within 4 days"</formula>
    </cfRule>
    <cfRule type="expression" priority="1172" dxfId="6">
      <formula>$E2="In Process"</formula>
    </cfRule>
    <cfRule type="expression" priority="1173" dxfId="7">
      <formula>$E2="Move for Completion"</formula>
    </cfRule>
    <cfRule type="expression" priority="1174" dxfId="8">
      <formula>$E2="Completed"</formula>
    </cfRule>
    <cfRule type="expression" priority="1175" dxfId="1">
      <formula>$E2="Issue"</formula>
    </cfRule>
    <cfRule type="expression" priority="1176" dxfId="4">
      <formula>$E2="Duplicate"</formula>
    </cfRule>
    <cfRule type="expression" priority="1180" dxfId="3">
      <formula>$E2="Need to be assigned"</formula>
    </cfRule>
    <cfRule type="expression" priority="1181" dxfId="1">
      <formula>$E2="Urgent"</formula>
    </cfRule>
    <cfRule type="expression" priority="1182" dxfId="4">
      <formula>$E2="Overdue"</formula>
    </cfRule>
    <cfRule type="expression" priority="1183" dxfId="5">
      <formula>$E2="Due within 4 days"</formula>
    </cfRule>
    <cfRule type="expression" priority="1184" dxfId="6">
      <formula>$E2="In Process"</formula>
    </cfRule>
    <cfRule type="expression" priority="1185" dxfId="7">
      <formula>$E2="Move for Completion"</formula>
    </cfRule>
    <cfRule type="expression" priority="1186" dxfId="8">
      <formula>$E2="Completed"</formula>
    </cfRule>
    <cfRule type="expression" priority="1187" dxfId="1">
      <formula>$E2="Issue"</formula>
    </cfRule>
    <cfRule type="expression" priority="1188" dxfId="4">
      <formula>$E2="Duplicate"</formula>
    </cfRule>
    <cfRule type="expression" priority="1192" dxfId="3">
      <formula>$E2="Need to be assigned"</formula>
    </cfRule>
    <cfRule type="expression" priority="1193" dxfId="1">
      <formula>$E2="Urgent"</formula>
    </cfRule>
    <cfRule type="expression" priority="1194" dxfId="4">
      <formula>$E2="Overdue"</formula>
    </cfRule>
    <cfRule type="expression" priority="1195" dxfId="5">
      <formula>$E2="Due within 4 days"</formula>
    </cfRule>
    <cfRule type="expression" priority="1196" dxfId="6">
      <formula>$E2="In Process"</formula>
    </cfRule>
    <cfRule type="expression" priority="1197" dxfId="7">
      <formula>$E2="Move for Completion"</formula>
    </cfRule>
    <cfRule type="expression" priority="1198" dxfId="8">
      <formula>$E2="Completed"</formula>
    </cfRule>
    <cfRule type="expression" priority="1199" dxfId="1">
      <formula>$E2="Issue"</formula>
    </cfRule>
    <cfRule type="expression" priority="1200" dxfId="4">
      <formula>$E2="Duplicate"</formula>
    </cfRule>
    <cfRule type="expression" priority="1204" dxfId="3">
      <formula>$E2="Need to be assigned"</formula>
    </cfRule>
    <cfRule type="expression" priority="1205" dxfId="1">
      <formula>$E2="Urgent"</formula>
    </cfRule>
    <cfRule type="expression" priority="1206" dxfId="4">
      <formula>$E2="Overdue"</formula>
    </cfRule>
    <cfRule type="expression" priority="1207" dxfId="5">
      <formula>$E2="Due within 4 days"</formula>
    </cfRule>
    <cfRule type="expression" priority="1208" dxfId="6">
      <formula>$E2="In Process"</formula>
    </cfRule>
    <cfRule type="expression" priority="1209" dxfId="7">
      <formula>$E2="Move for Completion"</formula>
    </cfRule>
    <cfRule type="expression" priority="1210" dxfId="8">
      <formula>$E2="Completed"</formula>
    </cfRule>
    <cfRule type="expression" priority="1211" dxfId="1">
      <formula>$E2="Issue"</formula>
    </cfRule>
    <cfRule type="expression" priority="1212" dxfId="4">
      <formula>$E2="Duplicate"</formula>
    </cfRule>
    <cfRule type="expression" priority="1216" dxfId="3">
      <formula>$E2="Need to be assigned"</formula>
    </cfRule>
    <cfRule type="expression" priority="1217" dxfId="1">
      <formula>$E2="Urgent"</formula>
    </cfRule>
    <cfRule type="expression" priority="1218" dxfId="4">
      <formula>$E2="Overdue"</formula>
    </cfRule>
    <cfRule type="expression" priority="1219" dxfId="5">
      <formula>$E2="Due within 4 days"</formula>
    </cfRule>
    <cfRule type="expression" priority="1220" dxfId="6">
      <formula>$E2="In Process"</formula>
    </cfRule>
    <cfRule type="expression" priority="1221" dxfId="7">
      <formula>$E2="Move for Completion"</formula>
    </cfRule>
    <cfRule type="expression" priority="1222" dxfId="8">
      <formula>$E2="Completed"</formula>
    </cfRule>
    <cfRule type="expression" priority="1223" dxfId="1">
      <formula>$E2="Issue"</formula>
    </cfRule>
    <cfRule type="expression" priority="1224" dxfId="4">
      <formula>$E2="Duplicate"</formula>
    </cfRule>
    <cfRule type="expression" priority="1228" dxfId="3">
      <formula>$E2="Need to be assigned"</formula>
    </cfRule>
    <cfRule type="expression" priority="1229" dxfId="1">
      <formula>$E2="Urgent"</formula>
    </cfRule>
    <cfRule type="expression" priority="1230" dxfId="4">
      <formula>$E2="Overdue"</formula>
    </cfRule>
    <cfRule type="expression" priority="1231" dxfId="5">
      <formula>$E2="Due within 4 days"</formula>
    </cfRule>
    <cfRule type="expression" priority="1232" dxfId="6">
      <formula>$E2="In Process"</formula>
    </cfRule>
    <cfRule type="expression" priority="1233" dxfId="7">
      <formula>$E2="Move for Completion"</formula>
    </cfRule>
    <cfRule type="expression" priority="1234" dxfId="8">
      <formula>$E2="Completed"</formula>
    </cfRule>
    <cfRule type="expression" priority="1235" dxfId="1">
      <formula>$E2="Issue"</formula>
    </cfRule>
    <cfRule type="expression" priority="1236" dxfId="4">
      <formula>$E2="Duplicate"</formula>
    </cfRule>
    <cfRule type="expression" priority="1240" dxfId="3">
      <formula>$E2="Need to be assigned"</formula>
    </cfRule>
    <cfRule type="expression" priority="1241" dxfId="1">
      <formula>$E2="Urgent"</formula>
    </cfRule>
    <cfRule type="expression" priority="1242" dxfId="4">
      <formula>$E2="Overdue"</formula>
    </cfRule>
    <cfRule type="expression" priority="1243" dxfId="5">
      <formula>$E2="Due within 4 days"</formula>
    </cfRule>
    <cfRule type="expression" priority="1244" dxfId="6">
      <formula>$E2="In Process"</formula>
    </cfRule>
    <cfRule type="expression" priority="1245" dxfId="7">
      <formula>$E2="Move for Completion"</formula>
    </cfRule>
    <cfRule type="expression" priority="1246" dxfId="8">
      <formula>$E2="Completed"</formula>
    </cfRule>
    <cfRule type="expression" priority="1247" dxfId="1">
      <formula>$E2="Issue"</formula>
    </cfRule>
    <cfRule type="expression" priority="1248" dxfId="4">
      <formula>$E2="Duplicate"</formula>
    </cfRule>
    <cfRule type="expression" priority="1252" dxfId="3">
      <formula>$E2="Need to be assigned"</formula>
    </cfRule>
    <cfRule type="expression" priority="1253" dxfId="1">
      <formula>$E2="Urgent"</formula>
    </cfRule>
    <cfRule type="expression" priority="1254" dxfId="4">
      <formula>$E2="Overdue"</formula>
    </cfRule>
    <cfRule type="expression" priority="1255" dxfId="5">
      <formula>$E2="Due within 4 days"</formula>
    </cfRule>
    <cfRule type="expression" priority="1256" dxfId="6">
      <formula>$E2="In Process"</formula>
    </cfRule>
    <cfRule type="expression" priority="1257" dxfId="7">
      <formula>$E2="Move for Completion"</formula>
    </cfRule>
    <cfRule type="expression" priority="1258" dxfId="8">
      <formula>$E2="Completed"</formula>
    </cfRule>
    <cfRule type="expression" priority="1259" dxfId="1">
      <formula>$E2="Issue"</formula>
    </cfRule>
    <cfRule type="expression" priority="1260" dxfId="4">
      <formula>$E2="Duplicate"</formula>
    </cfRule>
    <cfRule type="expression" priority="1264" dxfId="3">
      <formula>$E2="Need to be assigned"</formula>
    </cfRule>
    <cfRule type="expression" priority="1265" dxfId="1">
      <formula>$E2="Urgent"</formula>
    </cfRule>
    <cfRule type="expression" priority="1266" dxfId="4">
      <formula>$E2="Overdue"</formula>
    </cfRule>
    <cfRule type="expression" priority="1267" dxfId="5">
      <formula>$E2="Due within 4 days"</formula>
    </cfRule>
    <cfRule type="expression" priority="1268" dxfId="6">
      <formula>$E2="In Process"</formula>
    </cfRule>
    <cfRule type="expression" priority="1269" dxfId="7">
      <formula>$E2="Move for Completion"</formula>
    </cfRule>
    <cfRule type="expression" priority="1270" dxfId="8">
      <formula>$E2="Completed"</formula>
    </cfRule>
    <cfRule type="expression" priority="1271" dxfId="1">
      <formula>$E2="Issue"</formula>
    </cfRule>
    <cfRule type="expression" priority="1272" dxfId="4">
      <formula>$E2="Duplicate"</formula>
    </cfRule>
    <cfRule type="expression" priority="1276" dxfId="3">
      <formula>$E2="Need to be assigned"</formula>
    </cfRule>
    <cfRule type="expression" priority="1277" dxfId="1">
      <formula>$E2="Urgent"</formula>
    </cfRule>
    <cfRule type="expression" priority="1278" dxfId="4">
      <formula>$E2="Overdue"</formula>
    </cfRule>
    <cfRule type="expression" priority="1279" dxfId="5">
      <formula>$E2="Due within 4 days"</formula>
    </cfRule>
    <cfRule type="expression" priority="1280" dxfId="6">
      <formula>$E2="In Process"</formula>
    </cfRule>
    <cfRule type="expression" priority="1281" dxfId="7">
      <formula>$E2="Move for Completion"</formula>
    </cfRule>
    <cfRule type="expression" priority="1282" dxfId="8">
      <formula>$E2="Completed"</formula>
    </cfRule>
    <cfRule type="expression" priority="1283" dxfId="1">
      <formula>$E2="Issue"</formula>
    </cfRule>
    <cfRule type="expression" priority="1284" dxfId="4">
      <formula>$E2="Duplicate"</formula>
    </cfRule>
    <cfRule type="expression" priority="1288" dxfId="3">
      <formula>$E2="Need to be assigned"</formula>
    </cfRule>
    <cfRule type="expression" priority="1289" dxfId="1">
      <formula>$E2="Urgent"</formula>
    </cfRule>
    <cfRule type="expression" priority="1290" dxfId="4">
      <formula>$E2="Overdue"</formula>
    </cfRule>
    <cfRule type="expression" priority="1291" dxfId="5">
      <formula>$E2="Due within 4 days"</formula>
    </cfRule>
    <cfRule type="expression" priority="1292" dxfId="6">
      <formula>$E2="In Process"</formula>
    </cfRule>
    <cfRule type="expression" priority="1293" dxfId="7">
      <formula>$E2="Move for Completion"</formula>
    </cfRule>
    <cfRule type="expression" priority="1294" dxfId="8">
      <formula>$E2="Completed"</formula>
    </cfRule>
    <cfRule type="expression" priority="1295" dxfId="1">
      <formula>$E2="Issue"</formula>
    </cfRule>
    <cfRule type="expression" priority="1296" dxfId="4">
      <formula>$E2="Duplicate"</formula>
    </cfRule>
    <cfRule type="expression" priority="1300" dxfId="3">
      <formula>$E2="Need to be assigned"</formula>
    </cfRule>
    <cfRule type="expression" priority="1301" dxfId="1">
      <formula>$E2="Urgent"</formula>
    </cfRule>
    <cfRule type="expression" priority="1302" dxfId="4">
      <formula>$E2="Overdue"</formula>
    </cfRule>
    <cfRule type="expression" priority="1303" dxfId="5">
      <formula>$E2="Due within 4 days"</formula>
    </cfRule>
    <cfRule type="expression" priority="1304" dxfId="6">
      <formula>$E2="In Process"</formula>
    </cfRule>
    <cfRule type="expression" priority="1305" dxfId="7">
      <formula>$E2="Move for Completion"</formula>
    </cfRule>
    <cfRule type="expression" priority="1306" dxfId="8">
      <formula>$E2="Completed"</formula>
    </cfRule>
    <cfRule type="expression" priority="1307" dxfId="1">
      <formula>$E2="Issue"</formula>
    </cfRule>
    <cfRule type="expression" priority="1308" dxfId="4">
      <formula>$E2="Duplicate"</formula>
    </cfRule>
    <cfRule type="expression" priority="1312" dxfId="3">
      <formula>$E2="Need to be assigned"</formula>
    </cfRule>
    <cfRule type="expression" priority="1313" dxfId="1">
      <formula>$E2="Urgent"</formula>
    </cfRule>
    <cfRule type="expression" priority="1314" dxfId="4">
      <formula>$E2="Overdue"</formula>
    </cfRule>
    <cfRule type="expression" priority="1315" dxfId="5">
      <formula>$E2="Due within 4 days"</formula>
    </cfRule>
    <cfRule type="expression" priority="1316" dxfId="6">
      <formula>$E2="In Process"</formula>
    </cfRule>
    <cfRule type="expression" priority="1317" dxfId="7">
      <formula>$E2="Move for Completion"</formula>
    </cfRule>
    <cfRule type="expression" priority="1318" dxfId="8">
      <formula>$E2="Completed"</formula>
    </cfRule>
    <cfRule type="expression" priority="1319" dxfId="1">
      <formula>$E2="Issue"</formula>
    </cfRule>
    <cfRule type="expression" priority="1320" dxfId="4">
      <formula>$E2="Duplicate"</formula>
    </cfRule>
    <cfRule type="expression" priority="1324" dxfId="3">
      <formula>$E2="Need to be assigned"</formula>
    </cfRule>
    <cfRule type="expression" priority="1325" dxfId="1">
      <formula>$E2="Urgent"</formula>
    </cfRule>
    <cfRule type="expression" priority="1326" dxfId="4">
      <formula>$E2="Overdue"</formula>
    </cfRule>
    <cfRule type="expression" priority="1327" dxfId="5">
      <formula>$E2="Due within 4 days"</formula>
    </cfRule>
    <cfRule type="expression" priority="1328" dxfId="6">
      <formula>$E2="In Process"</formula>
    </cfRule>
    <cfRule type="expression" priority="1329" dxfId="7">
      <formula>$E2="Move for Completion"</formula>
    </cfRule>
    <cfRule type="expression" priority="1330" dxfId="8">
      <formula>$E2="Completed"</formula>
    </cfRule>
    <cfRule type="expression" priority="1331" dxfId="1">
      <formula>$E2="Issue"</formula>
    </cfRule>
    <cfRule type="expression" priority="1332" dxfId="4">
      <formula>$E2="Duplicate"</formula>
    </cfRule>
    <cfRule type="expression" priority="1336" dxfId="3">
      <formula>$E2="Need to be assigned"</formula>
    </cfRule>
    <cfRule type="expression" priority="1337" dxfId="1">
      <formula>$E2="Urgent"</formula>
    </cfRule>
    <cfRule type="expression" priority="1338" dxfId="4">
      <formula>$E2="Overdue"</formula>
    </cfRule>
    <cfRule type="expression" priority="1339" dxfId="5">
      <formula>$E2="Due within 4 days"</formula>
    </cfRule>
    <cfRule type="expression" priority="1340" dxfId="6">
      <formula>$E2="In Process"</formula>
    </cfRule>
    <cfRule type="expression" priority="1341" dxfId="7">
      <formula>$E2="Move for Completion"</formula>
    </cfRule>
    <cfRule type="expression" priority="1342" dxfId="8">
      <formula>$E2="Completed"</formula>
    </cfRule>
    <cfRule type="expression" priority="1343" dxfId="1">
      <formula>$E2="Issue"</formula>
    </cfRule>
    <cfRule type="expression" priority="1344" dxfId="4">
      <formula>$E2="Duplicate"</formula>
    </cfRule>
    <cfRule type="expression" priority="1348" dxfId="3">
      <formula>$E2="Need to be assigned"</formula>
    </cfRule>
    <cfRule type="expression" priority="1349" dxfId="1">
      <formula>$E2="Urgent"</formula>
    </cfRule>
    <cfRule type="expression" priority="1350" dxfId="4">
      <formula>$E2="Overdue"</formula>
    </cfRule>
    <cfRule type="expression" priority="1351" dxfId="5">
      <formula>$E2="Due within 4 days"</formula>
    </cfRule>
    <cfRule type="expression" priority="1352" dxfId="6">
      <formula>$E2="In Process"</formula>
    </cfRule>
    <cfRule type="expression" priority="1353" dxfId="7">
      <formula>$E2="Move for Completion"</formula>
    </cfRule>
    <cfRule type="expression" priority="1354" dxfId="8">
      <formula>$E2="Completed"</formula>
    </cfRule>
    <cfRule type="expression" priority="1355" dxfId="1">
      <formula>$E2="Issue"</formula>
    </cfRule>
    <cfRule type="expression" priority="1356" dxfId="4">
      <formula>$E2="Duplicate"</formula>
    </cfRule>
    <cfRule type="expression" priority="1360" dxfId="3">
      <formula>$E2="Need to be assigned"</formula>
    </cfRule>
    <cfRule type="expression" priority="1361" dxfId="1">
      <formula>$E2="Urgent"</formula>
    </cfRule>
    <cfRule type="expression" priority="1362" dxfId="4">
      <formula>$E2="Overdue"</formula>
    </cfRule>
    <cfRule type="expression" priority="1363" dxfId="5">
      <formula>$E2="Due within 4 days"</formula>
    </cfRule>
    <cfRule type="expression" priority="1364" dxfId="6">
      <formula>$E2="In Process"</formula>
    </cfRule>
    <cfRule type="expression" priority="1365" dxfId="7">
      <formula>$E2="Move for Completion"</formula>
    </cfRule>
    <cfRule type="expression" priority="1366" dxfId="8">
      <formula>$E2="Completed"</formula>
    </cfRule>
    <cfRule type="expression" priority="1367" dxfId="1">
      <formula>$E2="Issue"</formula>
    </cfRule>
    <cfRule type="expression" priority="1368" dxfId="4">
      <formula>$E2="Duplicate"</formula>
    </cfRule>
    <cfRule type="expression" priority="1372" dxfId="3">
      <formula>$E2="Need to be assigned"</formula>
    </cfRule>
    <cfRule type="expression" priority="1373" dxfId="1">
      <formula>$E2="Urgent"</formula>
    </cfRule>
    <cfRule type="expression" priority="1374" dxfId="4">
      <formula>$E2="Overdue"</formula>
    </cfRule>
    <cfRule type="expression" priority="1375" dxfId="5">
      <formula>$E2="Due within 4 days"</formula>
    </cfRule>
    <cfRule type="expression" priority="1376" dxfId="6">
      <formula>$E2="In Process"</formula>
    </cfRule>
    <cfRule type="expression" priority="1377" dxfId="7">
      <formula>$E2="Move for Completion"</formula>
    </cfRule>
    <cfRule type="expression" priority="1378" dxfId="8">
      <formula>$E2="Completed"</formula>
    </cfRule>
    <cfRule type="expression" priority="1379" dxfId="1">
      <formula>$E2="Issue"</formula>
    </cfRule>
    <cfRule type="expression" priority="1380" dxfId="4">
      <formula>$E2="Duplicate"</formula>
    </cfRule>
    <cfRule type="expression" priority="1384" dxfId="3">
      <formula>$E2="Need to be assigned"</formula>
    </cfRule>
    <cfRule type="expression" priority="1385" dxfId="1">
      <formula>$E2="Urgent"</formula>
    </cfRule>
    <cfRule type="expression" priority="1386" dxfId="4">
      <formula>$E2="Overdue"</formula>
    </cfRule>
    <cfRule type="expression" priority="1387" dxfId="5">
      <formula>$E2="Due within 4 days"</formula>
    </cfRule>
    <cfRule type="expression" priority="1388" dxfId="6">
      <formula>$E2="In Process"</formula>
    </cfRule>
    <cfRule type="expression" priority="1389" dxfId="7">
      <formula>$E2="Move for Completion"</formula>
    </cfRule>
    <cfRule type="expression" priority="1390" dxfId="8">
      <formula>$E2="Completed"</formula>
    </cfRule>
    <cfRule type="expression" priority="1391" dxfId="1">
      <formula>$E2="Issue"</formula>
    </cfRule>
    <cfRule type="expression" priority="1392" dxfId="4">
      <formula>$E2="Duplicate"</formula>
    </cfRule>
    <cfRule type="expression" priority="1396" dxfId="3">
      <formula>$E2="Need to be assigned"</formula>
    </cfRule>
    <cfRule type="expression" priority="1397" dxfId="1">
      <formula>$E2="Urgent"</formula>
    </cfRule>
    <cfRule type="expression" priority="1398" dxfId="4">
      <formula>$E2="Overdue"</formula>
    </cfRule>
    <cfRule type="expression" priority="1399" dxfId="5">
      <formula>$E2="Due within 4 days"</formula>
    </cfRule>
    <cfRule type="expression" priority="1400" dxfId="6">
      <formula>$E2="In Process"</formula>
    </cfRule>
    <cfRule type="expression" priority="1401" dxfId="7">
      <formula>$E2="Move for Completion"</formula>
    </cfRule>
    <cfRule type="expression" priority="1402" dxfId="8">
      <formula>$E2="Completed"</formula>
    </cfRule>
    <cfRule type="expression" priority="1403" dxfId="1">
      <formula>$E2="Issue"</formula>
    </cfRule>
    <cfRule type="expression" priority="1404" dxfId="4">
      <formula>$E2="Duplicate"</formula>
    </cfRule>
    <cfRule type="expression" priority="1408" dxfId="3">
      <formula>$E2="Need to be assigned"</formula>
    </cfRule>
    <cfRule type="expression" priority="1409" dxfId="1">
      <formula>$E2="Urgent"</formula>
    </cfRule>
    <cfRule type="expression" priority="1410" dxfId="4">
      <formula>$E2="Overdue"</formula>
    </cfRule>
    <cfRule type="expression" priority="1411" dxfId="5">
      <formula>$E2="Due within 4 days"</formula>
    </cfRule>
    <cfRule type="expression" priority="1412" dxfId="6">
      <formula>$E2="In Process"</formula>
    </cfRule>
    <cfRule type="expression" priority="1413" dxfId="7">
      <formula>$E2="Move for Completion"</formula>
    </cfRule>
    <cfRule type="expression" priority="1414" dxfId="8">
      <formula>$E2="Completed"</formula>
    </cfRule>
    <cfRule type="expression" priority="1415" dxfId="1">
      <formula>$E2="Issue"</formula>
    </cfRule>
    <cfRule type="expression" priority="1416" dxfId="4">
      <formula>$E2="Duplicate"</formula>
    </cfRule>
    <cfRule type="expression" priority="1420" dxfId="3">
      <formula>$E2="Need to be assigned"</formula>
    </cfRule>
    <cfRule type="expression" priority="1421" dxfId="1">
      <formula>$E2="Urgent"</formula>
    </cfRule>
    <cfRule type="expression" priority="1422" dxfId="4">
      <formula>$E2="Overdue"</formula>
    </cfRule>
    <cfRule type="expression" priority="1423" dxfId="5">
      <formula>$E2="Due within 4 days"</formula>
    </cfRule>
    <cfRule type="expression" priority="1424" dxfId="6">
      <formula>$E2="In Process"</formula>
    </cfRule>
    <cfRule type="expression" priority="1425" dxfId="7">
      <formula>$E2="Move for Completion"</formula>
    </cfRule>
    <cfRule type="expression" priority="1426" dxfId="8">
      <formula>$E2="Completed"</formula>
    </cfRule>
    <cfRule type="expression" priority="1427" dxfId="1">
      <formula>$E2="Issue"</formula>
    </cfRule>
    <cfRule type="expression" priority="1428" dxfId="4">
      <formula>$E2="Duplicate"</formula>
    </cfRule>
    <cfRule type="expression" priority="1432" dxfId="3">
      <formula>$E2="Need to be assigned"</formula>
    </cfRule>
    <cfRule type="expression" priority="1433" dxfId="1">
      <formula>$E2="Urgent"</formula>
    </cfRule>
    <cfRule type="expression" priority="1434" dxfId="4">
      <formula>$E2="Overdue"</formula>
    </cfRule>
    <cfRule type="expression" priority="1435" dxfId="5">
      <formula>$E2="Due within 4 days"</formula>
    </cfRule>
    <cfRule type="expression" priority="1436" dxfId="6">
      <formula>$E2="In Process"</formula>
    </cfRule>
    <cfRule type="expression" priority="1437" dxfId="7">
      <formula>$E2="Move for Completion"</formula>
    </cfRule>
    <cfRule type="expression" priority="1438" dxfId="8">
      <formula>$E2="Completed"</formula>
    </cfRule>
    <cfRule type="expression" priority="1439" dxfId="1">
      <formula>$E2="Issue"</formula>
    </cfRule>
    <cfRule type="expression" priority="1440" dxfId="4">
      <formula>$E2="Duplicate"</formula>
    </cfRule>
    <cfRule type="expression" priority="1444" dxfId="3">
      <formula>$E2="Need to be assigned"</formula>
    </cfRule>
    <cfRule type="expression" priority="1445" dxfId="1">
      <formula>$E2="Urgent"</formula>
    </cfRule>
    <cfRule type="expression" priority="1446" dxfId="4">
      <formula>$E2="Overdue"</formula>
    </cfRule>
    <cfRule type="expression" priority="1447" dxfId="5">
      <formula>$E2="Due within 4 days"</formula>
    </cfRule>
    <cfRule type="expression" priority="1448" dxfId="6">
      <formula>$E2="In Process"</formula>
    </cfRule>
    <cfRule type="expression" priority="1449" dxfId="7">
      <formula>$E2="Move for Completion"</formula>
    </cfRule>
    <cfRule type="expression" priority="1450" dxfId="8">
      <formula>$E2="Completed"</formula>
    </cfRule>
    <cfRule type="expression" priority="1451" dxfId="1">
      <formula>$E2="Issue"</formula>
    </cfRule>
    <cfRule type="expression" priority="1452" dxfId="4">
      <formula>$E2="Duplicate"</formula>
    </cfRule>
  </conditionalFormatting>
  <dataValidations count="484"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"Albert,William,Jessica,Angel H / Raymond,Carlos Sr.,Jesus S,Jesus G,Jesse,Carlos Jr.,Rosendo,Gaston"</formula1>
    </dataValidation>
    <dataValidation sqref="Y2:Y5000" showDropDown="0" showInputMessage="0" showErrorMessage="0" allowBlank="1" type="decimal" operator="between">
      <formula1>0</formula1>
      <formula2>1.5</formula2>
    </dataValidation>
    <dataValidation sqref="E2:E5000" showDropDown="0" showInputMessage="0" showErrorMessage="0" allowBlank="1" type="list">
      <formula1>"Need to be assigned,Urgent,Overdue,Due within 4 days,In Process,Move for Completion,Completed,Issue,Duplicate"</formula1>
    </dataValidation>
    <dataValidation sqref="C2:C5000" showDropDown="0" showInputMessage="0" showErrorMessage="0" allowBlank="1" type="list">
      <formula1>"Normal,High,Urgent"</formula1>
    </dataValidation>
    <dataValidation sqref="F2:F5000" showDropDown="0" showInputMessage="0" showErrorMessage="0" allowBlank="1" type="list">
      <formula1>"Albert,Juan Special Forces"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2" customWidth="1" min="4" max="4"/>
    <col width="12" customWidth="1" min="5" max="5"/>
    <col width="14" customWidth="1" min="6" max="6"/>
    <col width="8" customWidth="1" min="7" max="7"/>
    <col width="40" customWidth="1" min="8" max="8"/>
    <col width="40" customWidth="1" min="9" max="9"/>
    <col width="18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35" customWidth="1" min="17" max="17"/>
  </cols>
  <sheetData>
    <row r="1">
      <c r="A1" s="2" t="inlineStr">
        <is>
          <t>Route Group</t>
        </is>
      </c>
      <c r="B1" s="2" t="inlineStr">
        <is>
          <t>Stop #</t>
        </is>
      </c>
      <c r="C1" s="2" t="inlineStr">
        <is>
          <t>Stop Type</t>
        </is>
      </c>
      <c r="D1" s="2" t="inlineStr">
        <is>
          <t>BOL #</t>
        </is>
      </c>
      <c r="E1" s="2" t="inlineStr">
        <is>
          <t>Origin</t>
        </is>
      </c>
      <c r="F1" s="2" t="inlineStr">
        <is>
          <t>Carrier Code</t>
        </is>
      </c>
      <c r="G1" s="2" t="inlineStr">
        <is>
          <t>City</t>
        </is>
      </c>
      <c r="H1" s="2" t="inlineStr">
        <is>
          <t>State</t>
        </is>
      </c>
      <c r="I1" s="2" t="inlineStr">
        <is>
          <t>Origin Address</t>
        </is>
      </c>
      <c r="J1" s="2" t="inlineStr">
        <is>
          <t>Carrier Address</t>
        </is>
      </c>
      <c r="K1" s="2" t="inlineStr">
        <is>
          <t>84" Corner Post Only</t>
        </is>
      </c>
      <c r="L1" s="2" t="inlineStr">
        <is>
          <t>40" DRB</t>
        </is>
      </c>
      <c r="M1" s="2" t="inlineStr">
        <is>
          <t>48" DRB</t>
        </is>
      </c>
      <c r="N1" s="2" t="inlineStr">
        <is>
          <t>Wood Shelf</t>
        </is>
      </c>
      <c r="O1" s="2" t="inlineStr">
        <is>
          <t>Est Racks</t>
        </is>
      </c>
      <c r="P1" s="2" t="inlineStr">
        <is>
          <t>Status</t>
        </is>
      </c>
      <c r="Q1" s="2" t="inlineStr">
        <is>
          <t>Notes</t>
        </is>
      </c>
    </row>
    <row r="2">
      <c r="A2" s="7" t="inlineStr">
        <is>
          <t>Dallas Route</t>
        </is>
      </c>
      <c r="B2" s="7" t="n">
        <v>0</v>
      </c>
      <c r="C2" s="7" t="inlineStr">
        <is>
          <t>HUB START</t>
        </is>
      </c>
      <c r="D2" s="7" t="inlineStr"/>
      <c r="E2" s="7" t="inlineStr"/>
      <c r="F2" s="7" t="inlineStr">
        <is>
          <t>DALLASTX</t>
        </is>
      </c>
      <c r="G2" s="7" t="inlineStr"/>
      <c r="H2" s="7" t="inlineStr">
        <is>
          <t>TX</t>
        </is>
      </c>
      <c r="I2" s="7" t="inlineStr">
        <is>
          <t>8101 Tristar Drive Suite 112 Irving Texas 75063</t>
        </is>
      </c>
      <c r="J2" s="7" t="inlineStr">
        <is>
          <t>8101 Tristar Drive Suite 112 Irving Texas 75063</t>
        </is>
      </c>
      <c r="K2" s="7" t="inlineStr"/>
      <c r="L2" s="7" t="inlineStr"/>
      <c r="M2" s="7" t="inlineStr"/>
      <c r="N2" s="7" t="inlineStr"/>
      <c r="O2" s="7" t="inlineStr"/>
      <c r="P2" s="7" t="inlineStr">
        <is>
          <t>Start</t>
        </is>
      </c>
      <c r="Q2" s="7" t="inlineStr"/>
    </row>
    <row r="3">
      <c r="A3" s="7" t="inlineStr">
        <is>
          <t>Dallas Route</t>
        </is>
      </c>
      <c r="B3" s="7" t="n">
        <v>1</v>
      </c>
      <c r="C3" s="7" t="inlineStr">
        <is>
          <t>PICKUP</t>
        </is>
      </c>
      <c r="D3" s="7" t="inlineStr">
        <is>
          <t>861132</t>
        </is>
      </c>
      <c r="E3" s="7" t="inlineStr">
        <is>
          <t>LO2719</t>
        </is>
      </c>
      <c r="F3" s="7" t="inlineStr">
        <is>
          <t>DALLASTX</t>
        </is>
      </c>
      <c r="G3" s="7" t="inlineStr">
        <is>
          <t>Abilene</t>
        </is>
      </c>
      <c r="H3" s="7" t="inlineStr">
        <is>
          <t>TX</t>
        </is>
      </c>
      <c r="I3" s="7" t="inlineStr">
        <is>
          <t>1634 Musgrave Boulevard Abilene Texas 79601</t>
        </is>
      </c>
      <c r="J3" s="7" t="inlineStr">
        <is>
          <t>8101 Tristar Drive Suite 112 Irving Texas 75063</t>
        </is>
      </c>
      <c r="K3" s="7" t="n">
        <v>156</v>
      </c>
      <c r="L3" s="7" t="n">
        <v>234</v>
      </c>
      <c r="M3" s="7" t="n">
        <v>234</v>
      </c>
      <c r="N3" s="7" t="n">
        <v>931</v>
      </c>
      <c r="O3" s="7" t="n">
        <v>39</v>
      </c>
      <c r="P3" s="7" t="inlineStr">
        <is>
          <t>In Process</t>
        </is>
      </c>
      <c r="Q3" s="7" t="n"/>
    </row>
    <row r="4">
      <c r="A4" s="7" t="inlineStr">
        <is>
          <t>Dallas Route</t>
        </is>
      </c>
      <c r="B4" s="7" t="n">
        <v>2</v>
      </c>
      <c r="C4" s="7" t="inlineStr">
        <is>
          <t>PICKUP</t>
        </is>
      </c>
      <c r="D4" s="7" t="inlineStr">
        <is>
          <t>793239</t>
        </is>
      </c>
      <c r="E4" s="7" t="inlineStr">
        <is>
          <t>WILABTX1</t>
        </is>
      </c>
      <c r="F4" s="7" t="inlineStr">
        <is>
          <t>DALLASTX</t>
        </is>
      </c>
      <c r="G4" s="7" t="inlineStr">
        <is>
          <t>Abilene</t>
        </is>
      </c>
      <c r="H4" s="7" t="inlineStr">
        <is>
          <t>TX</t>
        </is>
      </c>
      <c r="I4" s="7" t="inlineStr">
        <is>
          <t>1820 South Treadaway Boulevard Abilene Texas 79602</t>
        </is>
      </c>
      <c r="J4" s="7" t="inlineStr">
        <is>
          <t>8101 Tristar Drive Suite 112 Irving Texas 75063</t>
        </is>
      </c>
      <c r="K4" s="7" t="n">
        <v>144</v>
      </c>
      <c r="L4" s="7" t="n">
        <v>330</v>
      </c>
      <c r="M4" s="7" t="n">
        <v>122</v>
      </c>
      <c r="N4" s="7" t="n">
        <v>723</v>
      </c>
      <c r="O4" s="7" t="n">
        <v>36</v>
      </c>
      <c r="P4" s="7" t="inlineStr">
        <is>
          <t>In Process</t>
        </is>
      </c>
      <c r="Q4" s="7" t="n"/>
    </row>
    <row r="5">
      <c r="A5" s="7" t="inlineStr">
        <is>
          <t>Dallas Route</t>
        </is>
      </c>
      <c r="B5" s="7" t="n">
        <v>3</v>
      </c>
      <c r="C5" s="7" t="inlineStr">
        <is>
          <t>PICKUP</t>
        </is>
      </c>
      <c r="D5" s="7" t="inlineStr">
        <is>
          <t>793237</t>
        </is>
      </c>
      <c r="E5" s="7" t="inlineStr">
        <is>
          <t>GARABTX1</t>
        </is>
      </c>
      <c r="F5" s="7" t="inlineStr">
        <is>
          <t>DALLASTX</t>
        </is>
      </c>
      <c r="G5" s="7" t="inlineStr">
        <is>
          <t>Abilene</t>
        </is>
      </c>
      <c r="H5" s="7" t="inlineStr">
        <is>
          <t>TX</t>
        </is>
      </c>
      <c r="I5" s="7" t="inlineStr">
        <is>
          <t>2850 South Clack Street Abilene Texas 79606</t>
        </is>
      </c>
      <c r="J5" s="7" t="inlineStr">
        <is>
          <t>8101 Tristar Drive Suite 112 Irving Texas 75063</t>
        </is>
      </c>
      <c r="K5" s="7" t="n">
        <v>61</v>
      </c>
      <c r="L5" s="7" t="n">
        <v>306</v>
      </c>
      <c r="M5" s="7" t="n">
        <v>41</v>
      </c>
      <c r="N5" s="7" t="n">
        <v>525</v>
      </c>
      <c r="O5" s="7" t="n">
        <v>15</v>
      </c>
      <c r="P5" s="7" t="inlineStr">
        <is>
          <t>In Process</t>
        </is>
      </c>
      <c r="Q5" s="7" t="n"/>
    </row>
    <row r="6">
      <c r="A6" s="7" t="inlineStr">
        <is>
          <t>Dallas Route</t>
        </is>
      </c>
      <c r="B6" s="7" t="n">
        <v>4</v>
      </c>
      <c r="C6" s="7" t="inlineStr">
        <is>
          <t>PICKUP</t>
        </is>
      </c>
      <c r="D6" s="7" t="inlineStr">
        <is>
          <t>944670</t>
        </is>
      </c>
      <c r="E6" s="7" t="inlineStr">
        <is>
          <t>HD6583</t>
        </is>
      </c>
      <c r="F6" s="7" t="inlineStr">
        <is>
          <t>DALLASTX</t>
        </is>
      </c>
      <c r="G6" s="7" t="inlineStr">
        <is>
          <t>Abilene</t>
        </is>
      </c>
      <c r="H6" s="7" t="inlineStr">
        <is>
          <t>TX</t>
        </is>
      </c>
      <c r="I6" s="7" t="inlineStr">
        <is>
          <t>4590 Southwest Drive Abilene Texas 79606</t>
        </is>
      </c>
      <c r="J6" s="7" t="inlineStr">
        <is>
          <t>8101 Tristar Drive Suite 112 Irving Texas 75063</t>
        </is>
      </c>
      <c r="K6" s="7" t="n">
        <v>60</v>
      </c>
      <c r="L6" s="7" t="n">
        <v>90</v>
      </c>
      <c r="M6" s="7" t="n">
        <v>90</v>
      </c>
      <c r="N6" s="7" t="n">
        <v>45</v>
      </c>
      <c r="O6" s="7" t="n">
        <v>15</v>
      </c>
      <c r="P6" s="7" t="inlineStr">
        <is>
          <t>In Process</t>
        </is>
      </c>
      <c r="Q6" s="7" t="n"/>
    </row>
    <row r="7">
      <c r="A7" s="7" t="inlineStr">
        <is>
          <t>Dallas Route</t>
        </is>
      </c>
      <c r="B7" s="7" t="n">
        <v>5</v>
      </c>
      <c r="C7" s="7" t="inlineStr">
        <is>
          <t>PICKUP</t>
        </is>
      </c>
      <c r="D7" s="7" t="inlineStr">
        <is>
          <t>899690</t>
        </is>
      </c>
      <c r="E7" s="7" t="inlineStr">
        <is>
          <t>LO138</t>
        </is>
      </c>
      <c r="F7" s="7" t="inlineStr">
        <is>
          <t>DALLASTX</t>
        </is>
      </c>
      <c r="G7" s="7" t="inlineStr">
        <is>
          <t>Abilene</t>
        </is>
      </c>
      <c r="H7" s="7" t="inlineStr">
        <is>
          <t>TX</t>
        </is>
      </c>
      <c r="I7" s="7" t="inlineStr">
        <is>
          <t>4134 Ridgemont Drive Abilene Texas 79606</t>
        </is>
      </c>
      <c r="J7" s="7" t="inlineStr">
        <is>
          <t>8101 Tristar Drive Suite 112 Irving Texas 75063</t>
        </is>
      </c>
      <c r="K7" s="7" t="n">
        <v>56</v>
      </c>
      <c r="L7" s="7" t="n">
        <v>84</v>
      </c>
      <c r="M7" s="7" t="n">
        <v>84</v>
      </c>
      <c r="N7" s="7" t="n">
        <v>42</v>
      </c>
      <c r="O7" s="7" t="n">
        <v>14</v>
      </c>
      <c r="P7" s="7" t="inlineStr">
        <is>
          <t>In Process</t>
        </is>
      </c>
      <c r="Q7" s="7" t="n"/>
    </row>
    <row r="8">
      <c r="A8" s="7" t="inlineStr">
        <is>
          <t>Dallas Route</t>
        </is>
      </c>
      <c r="B8" s="7" t="n">
        <v>6</v>
      </c>
      <c r="C8" s="7" t="inlineStr">
        <is>
          <t>RETURN HUB</t>
        </is>
      </c>
      <c r="D8" s="7" t="inlineStr"/>
      <c r="E8" s="7" t="inlineStr"/>
      <c r="F8" s="7" t="inlineStr">
        <is>
          <t>DALLASTX</t>
        </is>
      </c>
      <c r="G8" s="7" t="inlineStr"/>
      <c r="H8" s="7" t="inlineStr">
        <is>
          <t>TX</t>
        </is>
      </c>
      <c r="I8" s="7" t="inlineStr">
        <is>
          <t>8101 Tristar Drive Suite 112 Irving Texas 75063</t>
        </is>
      </c>
      <c r="J8" s="7" t="inlineStr">
        <is>
          <t>8101 Tristar Drive Suite 112 Irving Texas 75063</t>
        </is>
      </c>
      <c r="K8" s="7" t="inlineStr"/>
      <c r="L8" s="7" t="inlineStr"/>
      <c r="M8" s="7" t="inlineStr"/>
      <c r="N8" s="7" t="inlineStr"/>
      <c r="O8" s="7" t="inlineStr"/>
      <c r="P8" s="7" t="inlineStr">
        <is>
          <t>Return</t>
        </is>
      </c>
      <c r="Q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44" customWidth="1" min="8" max="8"/>
    <col width="44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Route Group</t>
        </is>
      </c>
      <c r="B1" s="1" t="inlineStr">
        <is>
          <t>Stop #</t>
        </is>
      </c>
      <c r="C1" s="1" t="inlineStr">
        <is>
          <t>Stop Type</t>
        </is>
      </c>
      <c r="D1" s="1" t="inlineStr">
        <is>
          <t>BOL #</t>
        </is>
      </c>
      <c r="E1" s="1" t="inlineStr">
        <is>
          <t>Origin</t>
        </is>
      </c>
      <c r="F1" s="1" t="inlineStr">
        <is>
          <t>Carrier Code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Origin Address</t>
        </is>
      </c>
      <c r="J1" s="1" t="inlineStr">
        <is>
          <t>Carrier Address</t>
        </is>
      </c>
      <c r="K1" s="1" t="inlineStr">
        <is>
          <t>Est Racks</t>
        </is>
      </c>
      <c r="L1" s="1" t="inlineStr">
        <is>
          <t>84" Corner Post Only</t>
        </is>
      </c>
      <c r="M1" s="1" t="inlineStr">
        <is>
          <t>40" DRB</t>
        </is>
      </c>
      <c r="N1" s="1" t="inlineStr">
        <is>
          <t>48" DRB</t>
        </is>
      </c>
      <c r="O1" s="1" t="inlineStr">
        <is>
          <t>Wood Shelf</t>
        </is>
      </c>
      <c r="P1" s="1" t="inlineStr">
        <is>
          <t>Status</t>
        </is>
      </c>
      <c r="Q1" s="1" t="inlineStr">
        <is>
          <t>Notes</t>
        </is>
      </c>
    </row>
    <row r="2">
      <c r="A2" s="7" t="inlineStr">
        <is>
          <t>Dallas Route</t>
        </is>
      </c>
      <c r="B2" s="7" t="n">
        <v>0</v>
      </c>
      <c r="C2" s="7" t="inlineStr">
        <is>
          <t>HUB START</t>
        </is>
      </c>
      <c r="D2" s="7" t="inlineStr"/>
      <c r="E2" s="7" t="inlineStr"/>
      <c r="F2" s="7" t="inlineStr">
        <is>
          <t>DALLASTX</t>
        </is>
      </c>
      <c r="G2" s="7" t="inlineStr"/>
      <c r="H2" s="7" t="inlineStr">
        <is>
          <t>TX</t>
        </is>
      </c>
      <c r="I2" s="7" t="inlineStr">
        <is>
          <t>8101 Tristar Drive Suite 112 Irving Texas 75063</t>
        </is>
      </c>
      <c r="J2" s="7" t="inlineStr">
        <is>
          <t>8101 Tristar Drive Suite 112 Irving Texas 75063</t>
        </is>
      </c>
      <c r="K2" s="7" t="inlineStr"/>
      <c r="L2" s="7" t="inlineStr"/>
      <c r="M2" s="7" t="inlineStr"/>
      <c r="N2" s="7" t="inlineStr"/>
      <c r="O2" s="7" t="inlineStr"/>
      <c r="P2" s="7" t="inlineStr">
        <is>
          <t>Start</t>
        </is>
      </c>
      <c r="Q2" s="7" t="inlineStr"/>
    </row>
    <row r="3">
      <c r="A3" s="7" t="inlineStr">
        <is>
          <t>Dallas Route</t>
        </is>
      </c>
      <c r="B3" s="7" t="n">
        <v>1</v>
      </c>
      <c r="C3" s="7" t="inlineStr">
        <is>
          <t>PICKUP</t>
        </is>
      </c>
      <c r="D3" s="7" t="inlineStr">
        <is>
          <t>861132</t>
        </is>
      </c>
      <c r="E3" s="7" t="inlineStr">
        <is>
          <t>LO2719</t>
        </is>
      </c>
      <c r="F3" s="7" t="inlineStr">
        <is>
          <t>DALLASTX</t>
        </is>
      </c>
      <c r="G3" s="7" t="inlineStr">
        <is>
          <t>Abilene</t>
        </is>
      </c>
      <c r="H3" s="7" t="inlineStr">
        <is>
          <t>TX</t>
        </is>
      </c>
      <c r="I3" s="7" t="inlineStr">
        <is>
          <t>1634 Musgrave Boulevard Abilene Texas 79601</t>
        </is>
      </c>
      <c r="J3" s="7" t="inlineStr">
        <is>
          <t>8101 Tristar Drive Suite 112 Irving Texas 75063</t>
        </is>
      </c>
      <c r="K3" s="7" t="n">
        <v>39</v>
      </c>
      <c r="L3" s="7" t="n">
        <v>156</v>
      </c>
      <c r="M3" s="7" t="n">
        <v>234</v>
      </c>
      <c r="N3" s="7" t="n">
        <v>234</v>
      </c>
      <c r="O3" s="7" t="n">
        <v>931</v>
      </c>
      <c r="P3" s="7" t="inlineStr">
        <is>
          <t>In Process</t>
        </is>
      </c>
      <c r="Q3" s="7" t="n"/>
    </row>
    <row r="4">
      <c r="A4" s="7" t="inlineStr">
        <is>
          <t>Dallas Route</t>
        </is>
      </c>
      <c r="B4" s="7" t="n">
        <v>2</v>
      </c>
      <c r="C4" s="7" t="inlineStr">
        <is>
          <t>PICKUP</t>
        </is>
      </c>
      <c r="D4" s="7" t="inlineStr">
        <is>
          <t>793239</t>
        </is>
      </c>
      <c r="E4" s="7" t="inlineStr">
        <is>
          <t>WILABTX1</t>
        </is>
      </c>
      <c r="F4" s="7" t="inlineStr">
        <is>
          <t>DALLASTX</t>
        </is>
      </c>
      <c r="G4" s="7" t="inlineStr">
        <is>
          <t>Abilene</t>
        </is>
      </c>
      <c r="H4" s="7" t="inlineStr">
        <is>
          <t>TX</t>
        </is>
      </c>
      <c r="I4" s="7" t="inlineStr">
        <is>
          <t>1820 South Treadaway Boulevard Abilene Texas 79602</t>
        </is>
      </c>
      <c r="J4" s="7" t="inlineStr">
        <is>
          <t>8101 Tristar Drive Suite 112 Irving Texas 75063</t>
        </is>
      </c>
      <c r="K4" s="7" t="n">
        <v>36</v>
      </c>
      <c r="L4" s="7" t="n">
        <v>144</v>
      </c>
      <c r="M4" s="7" t="n">
        <v>330</v>
      </c>
      <c r="N4" s="7" t="n">
        <v>122</v>
      </c>
      <c r="O4" s="7" t="n">
        <v>723</v>
      </c>
      <c r="P4" s="7" t="inlineStr">
        <is>
          <t>In Process</t>
        </is>
      </c>
      <c r="Q4" s="7" t="n"/>
    </row>
    <row r="5">
      <c r="A5" s="7" t="inlineStr">
        <is>
          <t>Dallas Route</t>
        </is>
      </c>
      <c r="B5" s="7" t="n">
        <v>3</v>
      </c>
      <c r="C5" s="7" t="inlineStr">
        <is>
          <t>PICKUP</t>
        </is>
      </c>
      <c r="D5" s="7" t="inlineStr">
        <is>
          <t>793237</t>
        </is>
      </c>
      <c r="E5" s="7" t="inlineStr">
        <is>
          <t>GARABTX1</t>
        </is>
      </c>
      <c r="F5" s="7" t="inlineStr">
        <is>
          <t>DALLASTX</t>
        </is>
      </c>
      <c r="G5" s="7" t="inlineStr">
        <is>
          <t>Abilene</t>
        </is>
      </c>
      <c r="H5" s="7" t="inlineStr">
        <is>
          <t>TX</t>
        </is>
      </c>
      <c r="I5" s="7" t="inlineStr">
        <is>
          <t>2850 South Clack Street Abilene Texas 79606</t>
        </is>
      </c>
      <c r="J5" s="7" t="inlineStr">
        <is>
          <t>8101 Tristar Drive Suite 112 Irving Texas 75063</t>
        </is>
      </c>
      <c r="K5" s="7" t="n">
        <v>15</v>
      </c>
      <c r="L5" s="7" t="n">
        <v>61</v>
      </c>
      <c r="M5" s="7" t="n">
        <v>306</v>
      </c>
      <c r="N5" s="7" t="n">
        <v>41</v>
      </c>
      <c r="O5" s="7" t="n">
        <v>525</v>
      </c>
      <c r="P5" s="7" t="inlineStr">
        <is>
          <t>In Process</t>
        </is>
      </c>
      <c r="Q5" s="7" t="n"/>
    </row>
    <row r="6">
      <c r="A6" s="7" t="inlineStr">
        <is>
          <t>Dallas Route</t>
        </is>
      </c>
      <c r="B6" s="7" t="n">
        <v>4</v>
      </c>
      <c r="C6" s="7" t="inlineStr">
        <is>
          <t>PICKUP</t>
        </is>
      </c>
      <c r="D6" s="7" t="inlineStr">
        <is>
          <t>944670</t>
        </is>
      </c>
      <c r="E6" s="7" t="inlineStr">
        <is>
          <t>HD6583</t>
        </is>
      </c>
      <c r="F6" s="7" t="inlineStr">
        <is>
          <t>DALLASTX</t>
        </is>
      </c>
      <c r="G6" s="7" t="inlineStr">
        <is>
          <t>Abilene</t>
        </is>
      </c>
      <c r="H6" s="7" t="inlineStr">
        <is>
          <t>TX</t>
        </is>
      </c>
      <c r="I6" s="7" t="inlineStr">
        <is>
          <t>4590 Southwest Drive Abilene Texas 79606</t>
        </is>
      </c>
      <c r="J6" s="7" t="inlineStr">
        <is>
          <t>8101 Tristar Drive Suite 112 Irving Texas 75063</t>
        </is>
      </c>
      <c r="K6" s="7" t="n">
        <v>15</v>
      </c>
      <c r="L6" s="7" t="n">
        <v>60</v>
      </c>
      <c r="M6" s="7" t="n">
        <v>90</v>
      </c>
      <c r="N6" s="7" t="n">
        <v>90</v>
      </c>
      <c r="O6" s="7" t="n">
        <v>45</v>
      </c>
      <c r="P6" s="7" t="inlineStr">
        <is>
          <t>In Process</t>
        </is>
      </c>
      <c r="Q6" s="7" t="n"/>
    </row>
    <row r="7">
      <c r="A7" s="7" t="inlineStr">
        <is>
          <t>Dallas Route</t>
        </is>
      </c>
      <c r="B7" s="7" t="n">
        <v>5</v>
      </c>
      <c r="C7" s="7" t="inlineStr">
        <is>
          <t>PICKUP</t>
        </is>
      </c>
      <c r="D7" s="7" t="inlineStr">
        <is>
          <t>899690</t>
        </is>
      </c>
      <c r="E7" s="7" t="inlineStr">
        <is>
          <t>LO138</t>
        </is>
      </c>
      <c r="F7" s="7" t="inlineStr">
        <is>
          <t>DALLASTX</t>
        </is>
      </c>
      <c r="G7" s="7" t="inlineStr">
        <is>
          <t>Abilene</t>
        </is>
      </c>
      <c r="H7" s="7" t="inlineStr">
        <is>
          <t>TX</t>
        </is>
      </c>
      <c r="I7" s="7" t="inlineStr">
        <is>
          <t>4134 Ridgemont Drive Abilene Texas 79606</t>
        </is>
      </c>
      <c r="J7" s="7" t="inlineStr">
        <is>
          <t>8101 Tristar Drive Suite 112 Irving Texas 75063</t>
        </is>
      </c>
      <c r="K7" s="7" t="n">
        <v>14</v>
      </c>
      <c r="L7" s="7" t="n">
        <v>56</v>
      </c>
      <c r="M7" s="7" t="n">
        <v>84</v>
      </c>
      <c r="N7" s="7" t="n">
        <v>84</v>
      </c>
      <c r="O7" s="7" t="n">
        <v>42</v>
      </c>
      <c r="P7" s="7" t="inlineStr">
        <is>
          <t>In Process</t>
        </is>
      </c>
      <c r="Q7" s="7" t="n"/>
    </row>
    <row r="8">
      <c r="A8" s="7" t="inlineStr">
        <is>
          <t>Dallas Route</t>
        </is>
      </c>
      <c r="B8" s="7" t="n">
        <v>6</v>
      </c>
      <c r="C8" s="7" t="inlineStr">
        <is>
          <t>RETURN HUB</t>
        </is>
      </c>
      <c r="D8" s="7" t="inlineStr"/>
      <c r="E8" s="7" t="inlineStr"/>
      <c r="F8" s="7" t="inlineStr">
        <is>
          <t>DALLASTX</t>
        </is>
      </c>
      <c r="G8" s="7" t="inlineStr"/>
      <c r="H8" s="7" t="inlineStr">
        <is>
          <t>TX</t>
        </is>
      </c>
      <c r="I8" s="7" t="inlineStr">
        <is>
          <t>8101 Tristar Drive Suite 112 Irving Texas 75063</t>
        </is>
      </c>
      <c r="J8" s="7" t="inlineStr">
        <is>
          <t>8101 Tristar Drive Suite 112 Irving Texas 75063</t>
        </is>
      </c>
      <c r="K8" s="7" t="inlineStr"/>
      <c r="L8" s="7" t="inlineStr"/>
      <c r="M8" s="7" t="inlineStr"/>
      <c r="N8" s="7" t="inlineStr"/>
      <c r="O8" s="7" t="inlineStr"/>
      <c r="P8" s="7" t="inlineStr">
        <is>
          <t>Return</t>
        </is>
      </c>
      <c r="Q8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" t="inlineStr">
        <is>
          <t>Operations Dashboard</t>
        </is>
      </c>
    </row>
    <row r="3">
      <c r="A3" t="inlineStr">
        <is>
          <t>Active BOLs</t>
        </is>
      </c>
      <c r="B3">
        <f>COUNTIFS(BOL_Intake!E:E,"&lt;&gt;Completed",BOL_Intake!E:E,"&lt;&gt;Move for Completion",BOL_Intake!E:E,"&lt;&gt;Duplicate",BOL_Intake!A:A,"&lt;&gt;")</f>
        <v/>
      </c>
    </row>
    <row r="4">
      <c r="A4" t="inlineStr">
        <is>
          <t>P&amp;L Processed</t>
        </is>
      </c>
      <c r="B4">
        <f>COUNTA('P&amp;L Revenue Summary'!A:A)-1</f>
        <v/>
      </c>
    </row>
    <row r="5">
      <c r="A5" t="inlineStr">
        <is>
          <t>Duplicates</t>
        </is>
      </c>
      <c r="B5">
        <f>COUNTIF(BOL_Intake!E:E,"Duplicate")</f>
        <v/>
      </c>
    </row>
    <row r="6">
      <c r="A6" t="inlineStr">
        <is>
          <t>Revenue</t>
        </is>
      </c>
      <c r="B6">
        <f>SUM(BOL_Intake!Z:Z)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40" customWidth="1" min="11" max="11"/>
    <col width="4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</cols>
  <sheetData>
    <row r="1">
      <c r="A1" s="2" t="inlineStr">
        <is>
          <t>BOL #</t>
        </is>
      </c>
      <c r="B1" s="2" t="inlineStr">
        <is>
          <t>Origin</t>
        </is>
      </c>
      <c r="C1" s="2" t="inlineStr">
        <is>
          <t>Due Date</t>
        </is>
      </c>
      <c r="D1" s="2" t="inlineStr">
        <is>
          <t>Priority</t>
        </is>
      </c>
      <c r="E1" s="2" t="inlineStr">
        <is>
          <t>Dispatch Group</t>
        </is>
      </c>
      <c r="F1" s="2" t="inlineStr">
        <is>
          <t>Status</t>
        </is>
      </c>
      <c r="G1" s="2" t="inlineStr">
        <is>
          <t>Team</t>
        </is>
      </c>
      <c r="H1" s="2" t="inlineStr">
        <is>
          <t>Route</t>
        </is>
      </c>
      <c r="I1" s="2" t="inlineStr">
        <is>
          <t>Carrier Code</t>
        </is>
      </c>
      <c r="J1" s="2" t="inlineStr">
        <is>
          <t>Type</t>
        </is>
      </c>
      <c r="K1" s="2" t="inlineStr">
        <is>
          <t>City</t>
        </is>
      </c>
      <c r="L1" s="2" t="inlineStr">
        <is>
          <t>State</t>
        </is>
      </c>
      <c r="M1" s="2" t="inlineStr">
        <is>
          <t>Origin Address</t>
        </is>
      </c>
      <c r="N1" s="2" t="inlineStr">
        <is>
          <t>Origin City</t>
        </is>
      </c>
      <c r="O1" s="2" t="inlineStr">
        <is>
          <t>Origin State</t>
        </is>
      </c>
      <c r="P1" s="2" t="inlineStr">
        <is>
          <t>Origin ZIP</t>
        </is>
      </c>
      <c r="Q1" s="2" t="inlineStr">
        <is>
          <t>Store Name</t>
        </is>
      </c>
      <c r="R1" s="2" t="inlineStr">
        <is>
          <t>Carrier Address</t>
        </is>
      </c>
      <c r="S1" s="2" t="inlineStr">
        <is>
          <t>Est Racks</t>
        </is>
      </c>
      <c r="T1" s="2" t="inlineStr">
        <is>
          <t>Actual Racks</t>
        </is>
      </c>
      <c r="U1" s="2" t="inlineStr">
        <is>
          <t>84" Corner Post Only</t>
        </is>
      </c>
      <c r="V1" s="2" t="inlineStr">
        <is>
          <t>40" DRB</t>
        </is>
      </c>
      <c r="W1" s="2" t="inlineStr">
        <is>
          <t>48" DRB</t>
        </is>
      </c>
      <c r="X1" s="2" t="inlineStr">
        <is>
          <t>Wood Shelf</t>
        </is>
      </c>
      <c r="Y1" s="2" t="inlineStr">
        <is>
          <t>Rate/Piece</t>
        </is>
      </c>
      <c r="Z1" s="2" t="inlineStr">
        <is>
          <t>Revenue</t>
        </is>
      </c>
      <c r="AA1" s="2" t="inlineStr">
        <is>
          <t>Notes</t>
        </is>
      </c>
      <c r="AB1" s="2" t="inlineStr">
        <is>
          <t>Completed Date</t>
        </is>
      </c>
      <c r="AC1" s="2" t="inlineStr">
        <is>
          <t>Imported At</t>
        </is>
      </c>
      <c r="AD1" s="2" t="inlineStr">
        <is>
          <t>Source File</t>
        </is>
      </c>
      <c r="AE1" s="2" t="inlineStr">
        <is>
          <t>P&amp;L Status</t>
        </is>
      </c>
      <c r="AF1" s="2" t="inlineStr">
        <is>
          <t>Reviewed At</t>
        </is>
      </c>
      <c r="AG1" s="2" t="inlineStr">
        <is>
          <t>Review Notes</t>
        </is>
      </c>
    </row>
    <row r="2">
      <c r="A2" t="inlineStr">
        <is>
          <t>944670</t>
        </is>
      </c>
      <c r="B2" t="inlineStr">
        <is>
          <t>HD6583</t>
        </is>
      </c>
      <c r="C2" t="inlineStr">
        <is>
          <t>06/22/2026</t>
        </is>
      </c>
      <c r="D2" t="inlineStr">
        <is>
          <t>High</t>
        </is>
      </c>
      <c r="E2" t="inlineStr">
        <is>
          <t>Houston</t>
        </is>
      </c>
      <c r="F2" t="inlineStr">
        <is>
          <t>Completed</t>
        </is>
      </c>
      <c r="G2" t="inlineStr">
        <is>
          <t>Juan Special Forces</t>
        </is>
      </c>
      <c r="H2" t="inlineStr">
        <is>
          <t>Houston</t>
        </is>
      </c>
      <c r="I2" t="inlineStr">
        <is>
          <t>SUHOTXUS</t>
        </is>
      </c>
      <c r="J2" t="inlineStr">
        <is>
          <t>Recovery</t>
        </is>
      </c>
      <c r="K2" t="inlineStr">
        <is>
          <t>Abilene</t>
        </is>
      </c>
      <c r="L2" t="inlineStr">
        <is>
          <t>TX</t>
        </is>
      </c>
      <c r="M2" t="inlineStr">
        <is>
          <t>4590 Southwest Drive Abilene Texas 79606</t>
        </is>
      </c>
      <c r="O2" t="inlineStr">
        <is>
          <t>TX</t>
        </is>
      </c>
      <c r="Q2" t="inlineStr">
        <is>
          <t>Home Depot</t>
        </is>
      </c>
      <c r="R2" t="inlineStr">
        <is>
          <t>403 Century Plaza Drive Houston Texas 77073</t>
        </is>
      </c>
      <c r="S2" t="n">
        <v>15</v>
      </c>
      <c r="U2" t="n">
        <v>60</v>
      </c>
      <c r="V2" t="n">
        <v>90</v>
      </c>
      <c r="W2" t="n">
        <v>90</v>
      </c>
      <c r="X2" t="n">
        <v>45</v>
      </c>
      <c r="Y2" t="n">
        <v>0.95</v>
      </c>
      <c r="Z2" t="n">
        <v>270.75</v>
      </c>
      <c r="AB2" t="inlineStr">
        <is>
          <t>06/18/2026 17:08</t>
        </is>
      </c>
      <c r="AC2" t="inlineStr">
        <is>
          <t>06/18/2026 16:39</t>
        </is>
      </c>
      <c r="AD2" t="inlineStr">
        <is>
          <t>944670.pdf</t>
        </is>
      </c>
      <c r="AE2" t="inlineStr">
        <is>
          <t>Need Review</t>
        </is>
      </c>
      <c r="AF2" t="inlineStr">
        <is>
          <t>06/18/2026 17:08</t>
        </is>
      </c>
      <c r="AG2" t="inlineStr"/>
    </row>
    <row r="3">
      <c r="A3" t="inlineStr">
        <is>
          <t>899690</t>
        </is>
      </c>
      <c r="B3" t="inlineStr">
        <is>
          <t>LO138</t>
        </is>
      </c>
      <c r="C3" t="inlineStr">
        <is>
          <t>06/22/2026</t>
        </is>
      </c>
      <c r="D3" t="inlineStr">
        <is>
          <t>High</t>
        </is>
      </c>
      <c r="E3" t="inlineStr">
        <is>
          <t>Houston</t>
        </is>
      </c>
      <c r="F3" t="inlineStr">
        <is>
          <t>Completed</t>
        </is>
      </c>
      <c r="G3" t="inlineStr">
        <is>
          <t>Juan Special Forces</t>
        </is>
      </c>
      <c r="H3" t="inlineStr">
        <is>
          <t>Houston</t>
        </is>
      </c>
      <c r="I3" t="inlineStr">
        <is>
          <t>SUHOTXUS</t>
        </is>
      </c>
      <c r="J3" t="inlineStr">
        <is>
          <t>Recovery</t>
        </is>
      </c>
      <c r="K3" t="inlineStr">
        <is>
          <t>Abilene</t>
        </is>
      </c>
      <c r="L3" t="inlineStr">
        <is>
          <t>TX</t>
        </is>
      </c>
      <c r="M3" t="inlineStr">
        <is>
          <t>4134 Ridgemont Drive Abilene Texas 79606</t>
        </is>
      </c>
      <c r="O3" t="inlineStr">
        <is>
          <t>TX</t>
        </is>
      </c>
      <c r="Q3" t="inlineStr">
        <is>
          <t>Lowes</t>
        </is>
      </c>
      <c r="R3" t="inlineStr">
        <is>
          <t>403 Century Plaza Drive Houston Texas 77073</t>
        </is>
      </c>
      <c r="S3" t="n">
        <v>14</v>
      </c>
      <c r="U3" t="n">
        <v>56</v>
      </c>
      <c r="V3" t="n">
        <v>84</v>
      </c>
      <c r="W3" t="n">
        <v>84</v>
      </c>
      <c r="X3" t="n">
        <v>42</v>
      </c>
      <c r="Y3" t="n">
        <v>0.95</v>
      </c>
      <c r="Z3" t="n">
        <v>252.7</v>
      </c>
      <c r="AB3" t="inlineStr">
        <is>
          <t>06/18/2026 17:08</t>
        </is>
      </c>
      <c r="AC3" t="inlineStr">
        <is>
          <t>06/18/2026 16:39</t>
        </is>
      </c>
      <c r="AD3" t="inlineStr">
        <is>
          <t>899690.pdf</t>
        </is>
      </c>
      <c r="AE3" t="inlineStr">
        <is>
          <t>Need Review</t>
        </is>
      </c>
      <c r="AF3" t="inlineStr">
        <is>
          <t>06/18/2026 17:08</t>
        </is>
      </c>
      <c r="AG3" t="inlineStr"/>
    </row>
    <row r="4">
      <c r="A4" t="inlineStr">
        <is>
          <t>861132</t>
        </is>
      </c>
      <c r="B4" t="inlineStr">
        <is>
          <t>LO2719</t>
        </is>
      </c>
      <c r="C4" t="inlineStr">
        <is>
          <t>06/22/2026</t>
        </is>
      </c>
      <c r="D4" t="inlineStr">
        <is>
          <t>High</t>
        </is>
      </c>
      <c r="E4" t="inlineStr">
        <is>
          <t>Houston</t>
        </is>
      </c>
      <c r="F4" t="inlineStr">
        <is>
          <t>Completed</t>
        </is>
      </c>
      <c r="G4" t="inlineStr">
        <is>
          <t>Juan Special Forces</t>
        </is>
      </c>
      <c r="H4" t="inlineStr">
        <is>
          <t>Houston</t>
        </is>
      </c>
      <c r="I4" t="inlineStr">
        <is>
          <t>SUHOTXUS</t>
        </is>
      </c>
      <c r="J4" t="inlineStr">
        <is>
          <t>Recovery</t>
        </is>
      </c>
      <c r="K4" t="inlineStr">
        <is>
          <t>Abilene</t>
        </is>
      </c>
      <c r="L4" t="inlineStr">
        <is>
          <t>TX</t>
        </is>
      </c>
      <c r="M4" t="inlineStr">
        <is>
          <t>1634 Musgrave Boulevard Abilene Texas 79601</t>
        </is>
      </c>
      <c r="O4" t="inlineStr">
        <is>
          <t>TX</t>
        </is>
      </c>
      <c r="Q4" t="inlineStr">
        <is>
          <t>Lowes</t>
        </is>
      </c>
      <c r="R4" t="inlineStr">
        <is>
          <t>403 Century Plaza Drive Houston Texas 77073</t>
        </is>
      </c>
      <c r="S4" t="n">
        <v>39</v>
      </c>
      <c r="U4" t="n">
        <v>156</v>
      </c>
      <c r="V4" t="n">
        <v>234</v>
      </c>
      <c r="W4" t="n">
        <v>234</v>
      </c>
      <c r="X4" t="n">
        <v>931</v>
      </c>
      <c r="Y4" t="n">
        <v>0.95</v>
      </c>
      <c r="Z4" t="n">
        <v>1477.25</v>
      </c>
      <c r="AB4" t="inlineStr">
        <is>
          <t>06/18/2026 17:08</t>
        </is>
      </c>
      <c r="AC4" t="inlineStr">
        <is>
          <t>06/18/2026 16:39</t>
        </is>
      </c>
      <c r="AD4" t="inlineStr">
        <is>
          <t>861132.pdf</t>
        </is>
      </c>
      <c r="AE4" t="inlineStr">
        <is>
          <t>Need Review</t>
        </is>
      </c>
      <c r="AF4" t="inlineStr">
        <is>
          <t>06/18/2026 17:08</t>
        </is>
      </c>
      <c r="AG4" t="inlineStr"/>
    </row>
    <row r="5">
      <c r="A5" t="inlineStr">
        <is>
          <t>793239</t>
        </is>
      </c>
      <c r="B5" t="inlineStr">
        <is>
          <t>WILABTX1</t>
        </is>
      </c>
      <c r="C5" t="inlineStr">
        <is>
          <t>06/22/2026</t>
        </is>
      </c>
      <c r="D5" t="inlineStr">
        <is>
          <t>Urgent</t>
        </is>
      </c>
      <c r="E5" t="inlineStr">
        <is>
          <t>Houston</t>
        </is>
      </c>
      <c r="F5" t="inlineStr">
        <is>
          <t>Completed</t>
        </is>
      </c>
      <c r="G5" t="inlineStr">
        <is>
          <t>Juan Special Forces</t>
        </is>
      </c>
      <c r="H5" t="inlineStr">
        <is>
          <t>Houston</t>
        </is>
      </c>
      <c r="I5" t="inlineStr">
        <is>
          <t>SUHOTXUS</t>
        </is>
      </c>
      <c r="J5" t="inlineStr">
        <is>
          <t>Recovery</t>
        </is>
      </c>
      <c r="K5" t="inlineStr">
        <is>
          <t>Abilene</t>
        </is>
      </c>
      <c r="L5" t="inlineStr">
        <is>
          <t>TX</t>
        </is>
      </c>
      <c r="M5" t="inlineStr">
        <is>
          <t>1820 South Treadaway Boulevard Abilene Texas 79602</t>
        </is>
      </c>
      <c r="O5" t="inlineStr">
        <is>
          <t>TX</t>
        </is>
      </c>
      <c r="Q5" t="inlineStr">
        <is>
          <t>Willow Creek Gardens</t>
        </is>
      </c>
      <c r="R5" t="inlineStr">
        <is>
          <t>403 Century Plaza Drive Houston Texas 77073</t>
        </is>
      </c>
      <c r="S5" t="n">
        <v>36</v>
      </c>
      <c r="U5" t="n">
        <v>144</v>
      </c>
      <c r="V5" t="n">
        <v>330</v>
      </c>
      <c r="W5" t="n">
        <v>122</v>
      </c>
      <c r="X5" t="n">
        <v>723</v>
      </c>
      <c r="Y5" t="n">
        <v>0.95</v>
      </c>
      <c r="Z5" t="n">
        <v>1253.05</v>
      </c>
      <c r="AB5" t="inlineStr">
        <is>
          <t>06/18/2026 17:08</t>
        </is>
      </c>
      <c r="AC5" t="inlineStr">
        <is>
          <t>06/18/2026 16:39</t>
        </is>
      </c>
      <c r="AD5" t="inlineStr">
        <is>
          <t>793239.pdf</t>
        </is>
      </c>
      <c r="AE5" t="inlineStr">
        <is>
          <t>Need Review</t>
        </is>
      </c>
      <c r="AF5" t="inlineStr">
        <is>
          <t>06/18/2026 17:08</t>
        </is>
      </c>
      <c r="AG5" t="inlineStr"/>
    </row>
    <row r="6">
      <c r="A6" t="inlineStr">
        <is>
          <t>793237</t>
        </is>
      </c>
      <c r="B6" t="inlineStr">
        <is>
          <t>GARABTX1</t>
        </is>
      </c>
      <c r="C6" t="inlineStr">
        <is>
          <t>06/22/2026</t>
        </is>
      </c>
      <c r="D6" t="inlineStr">
        <is>
          <t>Urgent</t>
        </is>
      </c>
      <c r="E6" t="inlineStr">
        <is>
          <t>Houston</t>
        </is>
      </c>
      <c r="F6" t="inlineStr">
        <is>
          <t>Completed</t>
        </is>
      </c>
      <c r="G6" t="inlineStr">
        <is>
          <t>Juan Special Forces</t>
        </is>
      </c>
      <c r="H6" t="inlineStr">
        <is>
          <t>Houston</t>
        </is>
      </c>
      <c r="I6" t="inlineStr">
        <is>
          <t>SUHOTXUS</t>
        </is>
      </c>
      <c r="J6" t="inlineStr">
        <is>
          <t>Recovery</t>
        </is>
      </c>
      <c r="K6" t="inlineStr">
        <is>
          <t>Abilene</t>
        </is>
      </c>
      <c r="L6" t="inlineStr">
        <is>
          <t>TX</t>
        </is>
      </c>
      <c r="M6" t="inlineStr">
        <is>
          <t>2850 South Clack Street Abilene Texas 79606</t>
        </is>
      </c>
      <c r="O6" t="inlineStr">
        <is>
          <t>TX</t>
        </is>
      </c>
      <c r="Q6" t="inlineStr">
        <is>
          <t>Garden World</t>
        </is>
      </c>
      <c r="R6" t="inlineStr">
        <is>
          <t>403 Century Plaza Drive Houston Texas 77073</t>
        </is>
      </c>
      <c r="S6" t="n">
        <v>15</v>
      </c>
      <c r="U6" t="n">
        <v>61</v>
      </c>
      <c r="V6" t="n">
        <v>306</v>
      </c>
      <c r="W6" t="n">
        <v>41</v>
      </c>
      <c r="X6" t="n">
        <v>525</v>
      </c>
      <c r="Y6" t="n">
        <v>0.95</v>
      </c>
      <c r="Z6" t="n">
        <v>886.35</v>
      </c>
      <c r="AB6" t="inlineStr">
        <is>
          <t>06/18/2026 17:08</t>
        </is>
      </c>
      <c r="AC6" t="inlineStr">
        <is>
          <t>06/18/2026 16:39</t>
        </is>
      </c>
      <c r="AD6" t="inlineStr">
        <is>
          <t>793237.pdf</t>
        </is>
      </c>
      <c r="AE6" t="inlineStr">
        <is>
          <t>Need Review</t>
        </is>
      </c>
      <c r="AF6" t="inlineStr">
        <is>
          <t>06/18/2026 17:08</t>
        </is>
      </c>
      <c r="AG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</cols>
  <sheetData>
    <row r="1">
      <c r="A1" s="2" t="inlineStr">
        <is>
          <t>BOL #</t>
        </is>
      </c>
      <c r="B1" s="2" t="inlineStr">
        <is>
          <t>Origin</t>
        </is>
      </c>
      <c r="C1" s="2" t="inlineStr">
        <is>
          <t>Due Date</t>
        </is>
      </c>
      <c r="D1" s="2" t="inlineStr">
        <is>
          <t>Priority</t>
        </is>
      </c>
      <c r="E1" s="2" t="inlineStr">
        <is>
          <t>Dispatch Group</t>
        </is>
      </c>
      <c r="F1" s="2" t="inlineStr">
        <is>
          <t>Status</t>
        </is>
      </c>
      <c r="G1" s="2" t="inlineStr">
        <is>
          <t>Team</t>
        </is>
      </c>
      <c r="H1" s="2" t="inlineStr">
        <is>
          <t>Route</t>
        </is>
      </c>
      <c r="I1" s="2" t="inlineStr">
        <is>
          <t>Carrier Code</t>
        </is>
      </c>
      <c r="J1" s="2" t="inlineStr">
        <is>
          <t>Type</t>
        </is>
      </c>
      <c r="K1" s="2" t="inlineStr">
        <is>
          <t>City</t>
        </is>
      </c>
      <c r="L1" s="2" t="inlineStr">
        <is>
          <t>State</t>
        </is>
      </c>
      <c r="M1" s="2" t="inlineStr">
        <is>
          <t>Origin Address</t>
        </is>
      </c>
      <c r="N1" s="2" t="inlineStr">
        <is>
          <t>Origin City</t>
        </is>
      </c>
      <c r="O1" s="2" t="inlineStr">
        <is>
          <t>Origin State</t>
        </is>
      </c>
      <c r="P1" s="2" t="inlineStr">
        <is>
          <t>Origin ZIP</t>
        </is>
      </c>
      <c r="Q1" s="2" t="inlineStr">
        <is>
          <t>Store Name</t>
        </is>
      </c>
      <c r="R1" s="2" t="inlineStr">
        <is>
          <t>Carrier Address</t>
        </is>
      </c>
      <c r="S1" s="2" t="inlineStr">
        <is>
          <t>Est Racks</t>
        </is>
      </c>
      <c r="T1" s="2" t="inlineStr">
        <is>
          <t>Actual Racks</t>
        </is>
      </c>
      <c r="U1" s="2" t="inlineStr">
        <is>
          <t>84" Corner Post Only</t>
        </is>
      </c>
      <c r="V1" s="2" t="inlineStr">
        <is>
          <t>40" DRB</t>
        </is>
      </c>
      <c r="W1" s="2" t="inlineStr">
        <is>
          <t>48" DRB</t>
        </is>
      </c>
      <c r="X1" s="2" t="inlineStr">
        <is>
          <t>Wood Shelf</t>
        </is>
      </c>
      <c r="Y1" s="2" t="inlineStr">
        <is>
          <t>Rate/Piece</t>
        </is>
      </c>
      <c r="Z1" s="2" t="inlineStr">
        <is>
          <t>Revenue</t>
        </is>
      </c>
      <c r="AA1" s="2" t="inlineStr">
        <is>
          <t>Notes</t>
        </is>
      </c>
      <c r="AB1" s="2" t="inlineStr">
        <is>
          <t>Completed Date</t>
        </is>
      </c>
      <c r="AC1" s="2" t="inlineStr">
        <is>
          <t>Imported At</t>
        </is>
      </c>
      <c r="AD1" s="2" t="inlineStr">
        <is>
          <t>Source File</t>
        </is>
      </c>
      <c r="AE1" s="2" t="inlineStr">
        <is>
          <t>P&amp;L Status</t>
        </is>
      </c>
      <c r="AF1" s="2" t="inlineStr">
        <is>
          <t>Reviewed At</t>
        </is>
      </c>
      <c r="AG1" s="2" t="inlineStr">
        <is>
          <t>Review Notes</t>
        </is>
      </c>
      <c r="AH1" s="2" t="inlineStr">
        <is>
          <t>Processed At</t>
        </is>
      </c>
      <c r="AI1" s="2" t="inlineStr">
        <is>
          <t>RMS Status</t>
        </is>
      </c>
      <c r="AJ1" s="2" t="inlineStr">
        <is>
          <t>RMS Closed At</t>
        </is>
      </c>
      <c r="AK1" s="2" t="inlineStr">
        <is>
          <t>RMS Archive Folder</t>
        </is>
      </c>
      <c r="AL1" s="2" t="inlineStr">
        <is>
          <t>P&amp;L Archived At</t>
        </is>
      </c>
      <c r="AM1" s="2" t="inlineStr">
        <is>
          <t>P&amp;L Archive Folder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2026-06-18T21:13:20Z</dcterms:created>
  <dcterms:modified xsi:type="dcterms:W3CDTF">2026-06-18T22:08:12Z</dcterms:modified>
</cp:coreProperties>
</file>